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PEL Internship\"/>
    </mc:Choice>
  </mc:AlternateContent>
  <xr:revisionPtr revIDLastSave="0" documentId="13_ncr:1_{3475E0FB-3F4A-4AAC-B88F-739FFCD68EFD}" xr6:coauthVersionLast="47" xr6:coauthVersionMax="47" xr10:uidLastSave="{00000000-0000-0000-0000-000000000000}"/>
  <bookViews>
    <workbookView xWindow="-110" yWindow="-110" windowWidth="19420" windowHeight="11500" activeTab="1" xr2:uid="{C4E620DA-2CB6-4A76-B19D-BB847DDAF6FF}"/>
  </bookViews>
  <sheets>
    <sheet name="Intro" sheetId="10" r:id="rId1"/>
    <sheet name="Dashboard" sheetId="7" r:id="rId2"/>
    <sheet name="Master Data" sheetId="4" r:id="rId3"/>
    <sheet name="Monthly Data" sheetId="1" r:id="rId4"/>
    <sheet name="Monthly Production" sheetId="2" r:id="rId5"/>
    <sheet name="Reworking Data" sheetId="3" r:id="rId6"/>
    <sheet name="Monthly Summary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2" i="7" l="1"/>
  <c r="AD13" i="7"/>
  <c r="AD14" i="7"/>
  <c r="AD15" i="7"/>
  <c r="AD16" i="7"/>
  <c r="AD17" i="7"/>
  <c r="AD18" i="7"/>
  <c r="AD19" i="7"/>
  <c r="AD20" i="7"/>
  <c r="AD21" i="7"/>
  <c r="AD22" i="7"/>
  <c r="AD11" i="7"/>
  <c r="AI3" i="7"/>
  <c r="AI4" i="7"/>
  <c r="AI5" i="7"/>
  <c r="AI6" i="7"/>
  <c r="AI7" i="7"/>
  <c r="AI8" i="7"/>
  <c r="AI2" i="7"/>
  <c r="AC12" i="7"/>
  <c r="AC13" i="7"/>
  <c r="AC14" i="7"/>
  <c r="AC15" i="7"/>
  <c r="AC16" i="7"/>
  <c r="AC17" i="7"/>
  <c r="AC18" i="7"/>
  <c r="AC19" i="7"/>
  <c r="AC20" i="7"/>
  <c r="AC21" i="7"/>
  <c r="AC22" i="7"/>
  <c r="AC11" i="7"/>
  <c r="AF5" i="7"/>
  <c r="AF4" i="7"/>
  <c r="B68" i="7"/>
  <c r="E4" i="1" l="1"/>
  <c r="D5" i="5"/>
  <c r="D6" i="5"/>
  <c r="D7" i="5"/>
  <c r="D8" i="5"/>
  <c r="D9" i="5"/>
  <c r="D3" i="5"/>
  <c r="I17" i="3" l="1"/>
  <c r="I16" i="3"/>
  <c r="I15" i="3"/>
  <c r="I14" i="3"/>
  <c r="I13" i="3"/>
  <c r="I12" i="3"/>
  <c r="I11" i="3"/>
  <c r="I10" i="3"/>
  <c r="I4" i="3"/>
  <c r="I5" i="3"/>
  <c r="I6" i="3"/>
  <c r="I7" i="3"/>
  <c r="I8" i="3"/>
  <c r="I9" i="3"/>
  <c r="I3" i="3"/>
  <c r="E7" i="1" l="1"/>
  <c r="E8" i="1"/>
  <c r="E9" i="1"/>
  <c r="E10" i="1"/>
  <c r="E11" i="1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D4" i="5" s="1"/>
  <c r="J18" i="2"/>
  <c r="J19" i="2"/>
  <c r="J20" i="2"/>
  <c r="J21" i="2"/>
  <c r="J22" i="2"/>
  <c r="J23" i="2"/>
  <c r="J24" i="2"/>
  <c r="J25" i="2"/>
  <c r="J26" i="2"/>
  <c r="J27" i="2"/>
  <c r="J28" i="2"/>
  <c r="J70" i="2"/>
  <c r="J71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13" i="2"/>
  <c r="E12" i="1"/>
  <c r="F10" i="1" a="1"/>
  <c r="F8" i="1" a="1"/>
  <c r="F11" i="1" a="1"/>
  <c r="F12" i="1" a="1"/>
  <c r="F9" i="1" a="1"/>
  <c r="F11" i="1" l="1"/>
  <c r="H11" i="1" s="1"/>
  <c r="I11" i="1" s="1"/>
  <c r="J11" i="1" s="1"/>
  <c r="F10" i="1"/>
  <c r="H10" i="1" s="1"/>
  <c r="I10" i="1" s="1"/>
  <c r="J10" i="1" s="1"/>
  <c r="F9" i="1"/>
  <c r="H9" i="1" s="1"/>
  <c r="I9" i="1" s="1"/>
  <c r="F8" i="1"/>
  <c r="H8" i="1" s="1"/>
  <c r="I8" i="1" s="1"/>
  <c r="J8" i="1" s="1"/>
  <c r="F12" i="1"/>
  <c r="H12" i="1" s="1"/>
  <c r="I12" i="1" s="1"/>
  <c r="J12" i="1" s="1"/>
  <c r="F7" i="1" a="1"/>
  <c r="J9" i="1" l="1"/>
  <c r="K9" i="1" s="1"/>
  <c r="F7" i="1"/>
  <c r="H7" i="1" s="1"/>
  <c r="I7" i="1" s="1"/>
  <c r="J7" i="1" s="1"/>
  <c r="L10" i="1"/>
  <c r="M10" i="1"/>
  <c r="K10" i="1"/>
  <c r="O10" i="1"/>
  <c r="M8" i="1"/>
  <c r="K8" i="1"/>
  <c r="O8" i="1"/>
  <c r="L8" i="1"/>
  <c r="O11" i="1"/>
  <c r="L11" i="1"/>
  <c r="M11" i="1"/>
  <c r="K11" i="1"/>
  <c r="K12" i="1"/>
  <c r="L12" i="1"/>
  <c r="M12" i="1"/>
  <c r="O12" i="1"/>
  <c r="O9" i="1" l="1"/>
  <c r="L9" i="1"/>
  <c r="M9" i="1"/>
  <c r="Q11" i="1"/>
  <c r="Q8" i="1"/>
  <c r="C8" i="5" s="1"/>
  <c r="Q10" i="1"/>
  <c r="M7" i="1"/>
  <c r="K7" i="1"/>
  <c r="O7" i="1"/>
  <c r="L7" i="1"/>
  <c r="Q12" i="1"/>
  <c r="E5" i="1"/>
  <c r="E6" i="1"/>
  <c r="E3" i="1"/>
  <c r="F3" i="1" a="1"/>
  <c r="F4" i="1" a="1"/>
  <c r="F6" i="1" a="1"/>
  <c r="F5" i="1" a="1"/>
  <c r="Q9" i="1" l="1"/>
  <c r="C9" i="5" s="1"/>
  <c r="E9" i="5" s="1"/>
  <c r="E8" i="5"/>
  <c r="F8" i="5"/>
  <c r="Q7" i="1"/>
  <c r="C7" i="5" s="1"/>
  <c r="F3" i="1"/>
  <c r="H3" i="1" s="1"/>
  <c r="I3" i="1" s="1"/>
  <c r="J3" i="1" s="1"/>
  <c r="F5" i="1"/>
  <c r="F6" i="1"/>
  <c r="H6" i="1" s="1"/>
  <c r="I6" i="1" s="1"/>
  <c r="J6" i="1" s="1"/>
  <c r="F4" i="1"/>
  <c r="H4" i="1" s="1"/>
  <c r="I4" i="1" s="1"/>
  <c r="J4" i="1" s="1"/>
  <c r="F9" i="5" l="1"/>
  <c r="E7" i="5"/>
  <c r="F7" i="5"/>
  <c r="H5" i="1"/>
  <c r="I5" i="1" s="1"/>
  <c r="J5" i="1" s="1"/>
  <c r="O3" i="1"/>
  <c r="M4" i="1"/>
  <c r="O4" i="1"/>
  <c r="M6" i="1"/>
  <c r="O6" i="1"/>
  <c r="M3" i="1"/>
  <c r="AF3" i="7" s="1"/>
  <c r="K4" i="1"/>
  <c r="L4" i="1"/>
  <c r="K6" i="1"/>
  <c r="L6" i="1"/>
  <c r="K3" i="1"/>
  <c r="L3" i="1"/>
  <c r="AF1" i="7" l="1"/>
  <c r="AF2" i="7"/>
  <c r="K5" i="1"/>
  <c r="L5" i="1"/>
  <c r="M5" i="1"/>
  <c r="O5" i="1"/>
  <c r="Q3" i="1"/>
  <c r="C3" i="5" s="1"/>
  <c r="Q6" i="1"/>
  <c r="C6" i="5" s="1"/>
  <c r="Q4" i="1"/>
  <c r="C4" i="5" s="1"/>
  <c r="B66" i="7" l="1"/>
  <c r="F3" i="5"/>
  <c r="E6" i="5"/>
  <c r="F6" i="5"/>
  <c r="E4" i="5"/>
  <c r="F4" i="5"/>
  <c r="E3" i="5"/>
  <c r="B69" i="7" s="1"/>
  <c r="Q5" i="1"/>
  <c r="C5" i="5" s="1"/>
  <c r="C71" i="7" l="1"/>
  <c r="E5" i="5"/>
  <c r="F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<sst xmlns="http://schemas.openxmlformats.org/spreadsheetml/2006/main" count="717" uniqueCount="243">
  <si>
    <t>Monthly Data</t>
  </si>
  <si>
    <t>Month</t>
  </si>
  <si>
    <t>Years</t>
  </si>
  <si>
    <t>Employees</t>
  </si>
  <si>
    <t xml:space="preserve">Shift
Hrs/Day </t>
  </si>
  <si>
    <t>Total Days</t>
  </si>
  <si>
    <t>Sundays</t>
  </si>
  <si>
    <t>Public
Holidays</t>
  </si>
  <si>
    <t>Working Hrs
/Employee</t>
  </si>
  <si>
    <t>Total
Working Hrs</t>
  </si>
  <si>
    <t>Absent Hrs</t>
  </si>
  <si>
    <t>Gate Pass 
Hrs</t>
  </si>
  <si>
    <t>Breakdown Hrs</t>
  </si>
  <si>
    <t>Maintainence
Hrs</t>
  </si>
  <si>
    <t>Overtime 
Hrs</t>
  </si>
  <si>
    <t>Rework 
Hrs</t>
  </si>
  <si>
    <t>Working 
Days</t>
  </si>
  <si>
    <t>Net
Available
Hrs</t>
  </si>
  <si>
    <t>August</t>
  </si>
  <si>
    <t>September</t>
  </si>
  <si>
    <t>October</t>
  </si>
  <si>
    <t>July</t>
  </si>
  <si>
    <t>Year</t>
  </si>
  <si>
    <t>FB NO</t>
  </si>
  <si>
    <t>Customer Name</t>
  </si>
  <si>
    <t>Description</t>
  </si>
  <si>
    <t>Panel Name</t>
  </si>
  <si>
    <t>Completion%</t>
  </si>
  <si>
    <t>Quantity</t>
  </si>
  <si>
    <t>Standard Man
Hours/Products</t>
  </si>
  <si>
    <t>Total Man Hours</t>
  </si>
  <si>
    <t>1307950, 51</t>
  </si>
  <si>
    <t>1308005, 06</t>
  </si>
  <si>
    <t>1308010, 11</t>
  </si>
  <si>
    <t>Sitara Engineering And Construction Company</t>
  </si>
  <si>
    <t>Dr. A. Q. Khan Research Laboratories.</t>
  </si>
  <si>
    <t>ISLAMABAD ELECTRIC SUPPLY COMPANY(IESCO</t>
  </si>
  <si>
    <t>DHA-NLD AOP LAHORE.</t>
  </si>
  <si>
    <t>RESPAK PVT LTD Peshawar</t>
  </si>
  <si>
    <t>Hasham Rice Mills</t>
  </si>
  <si>
    <t>KASMY PACK PVT LTD TEHSIL PATTOKI KASUR</t>
  </si>
  <si>
    <t xml:space="preserve">K-ELECTRIC,  KARACHI.   </t>
  </si>
  <si>
    <t>EDEN HOUSING LIMITED LAHORE</t>
  </si>
  <si>
    <t>ZS INTERNATIONAL LAHORE</t>
  </si>
  <si>
    <t>AYYAN TRADERS AND CONTRACTORS ISLAMABAD. PROJECT: MMLP-PIPRI NLC KARACHI</t>
  </si>
  <si>
    <t>ISLAMABAD ELECTRIC SUPPLY COMPANY(IESCO)</t>
  </si>
  <si>
    <t>11kV Wapda Metering Panel (P-44:2018)</t>
  </si>
  <si>
    <t>11kV WAPDA Metering Panel</t>
  </si>
  <si>
    <t>11kV Wapda Metering Panel</t>
  </si>
  <si>
    <t>MV Panel (Industrial Type)</t>
  </si>
  <si>
    <t xml:space="preserve">11 KV VCB PANEL CASSETTE TYPE </t>
  </si>
  <si>
    <t>11kV HT Grid End (Consumer) Panel. (P44:2018)</t>
  </si>
  <si>
    <t>11kV MV SWITCHBOARD  (650mm-75kV BIL)</t>
  </si>
  <si>
    <t>Outgoing Panel</t>
  </si>
  <si>
    <t>Industrial</t>
  </si>
  <si>
    <t>Cassette Type-1</t>
  </si>
  <si>
    <t>Cassette Type-2</t>
  </si>
  <si>
    <t>Consumer Panel</t>
  </si>
  <si>
    <t>Owner</t>
  </si>
  <si>
    <t>Monthly Production</t>
  </si>
  <si>
    <t>June</t>
  </si>
  <si>
    <t>1307829
1307830</t>
  </si>
  <si>
    <t>1307919,20</t>
  </si>
  <si>
    <t>Harzand Core (pvt) ltd</t>
  </si>
  <si>
    <t>Ayyan Traders Contractors</t>
  </si>
  <si>
    <t>NMF LUMS LAHORE</t>
  </si>
  <si>
    <t>A.S RICE MILLS RAHIM YAR KHAN</t>
  </si>
  <si>
    <t>Omecta International (Private) Limited</t>
  </si>
  <si>
    <t>SHERAZ TEXTILE (PVT.) LIMITED</t>
  </si>
  <si>
    <t>Ali Enterprises (Siraj Jokhio &amp; Tariq Bashir Shaikh)</t>
  </si>
  <si>
    <t>Pak Oasis Pvt. Ltd. KARACHI. PROJECT: Greater Karachi Sewerage Project (S-III).</t>
  </si>
  <si>
    <t xml:space="preserve">LEARNINGALLIANCE (PVT.) LIMITED LAHORE </t>
  </si>
  <si>
    <t>KOHINOOR TEXTILE MILLS LTD. RAWALPINDI</t>
  </si>
  <si>
    <t>FAUJI FOODS LIMITED SARGODHA</t>
  </si>
  <si>
    <t>GREEN T&amp;D (PRIVATE) LIMITED LAHORE. PROJECT: AJJ SONS LAHORE</t>
  </si>
  <si>
    <t>RAJA MANZOOR &amp; SONS ADDA GAMBER SAHIWAL. PROJECT: COD KHANEWAL</t>
  </si>
  <si>
    <t>GALAXY RICE MILLS PVT. LTD. GUJRANWALA</t>
  </si>
  <si>
    <t>SHAHDEV VANKWANI BUKHARI COMMERCIAL DHA PHASE VI KARACHI</t>
  </si>
  <si>
    <t xml:space="preserve"> DHA-NLD AOP LAHORE.</t>
  </si>
  <si>
    <t>FESCO (FAISALABAD ELECTRIC SUPPLY CO LTD.)</t>
  </si>
  <si>
    <t xml:space="preserve">Globe Residency REIT Naya nazimabad
</t>
  </si>
  <si>
    <t>POINEER FOODS &amp; FARMS (PRIVATE) LIMITED KARACHI</t>
  </si>
  <si>
    <t>11kv Owner  panel</t>
  </si>
  <si>
    <t>11kV Transformer Protection Panel</t>
  </si>
  <si>
    <t>11kV SWITCHBOARD</t>
  </si>
  <si>
    <t>11kV MV PANEL 630A (650mm Width)</t>
  </si>
  <si>
    <t>11kV MV PANEL 630A (SMART PRO) 650mm-75kVBIL</t>
  </si>
  <si>
    <t>11 KV VCB PANEL 4nos diverted 1307842</t>
  </si>
  <si>
    <t>11 KV VCB PANEL CASSETTE TYPE 400/5A</t>
  </si>
  <si>
    <t>11 KV VCB PANEL CASSETTE TYPE 100/5A</t>
  </si>
  <si>
    <t>11kV Wapda Grid End Panel</t>
  </si>
  <si>
    <t>11KV INCOMING PANELS. 31/40 MVA</t>
  </si>
  <si>
    <t>Capacitor Control Panel</t>
  </si>
  <si>
    <t>Bus Coupler Panel</t>
  </si>
  <si>
    <t>January</t>
  </si>
  <si>
    <t>1307704, 05</t>
  </si>
  <si>
    <t xml:space="preserve"> GEPCO </t>
  </si>
  <si>
    <t>FESCO</t>
  </si>
  <si>
    <t>Boota Flour &amp; Genereal Mill</t>
  </si>
  <si>
    <t>NATIONAL ENGINEERING &amp; SCIENTIFIC COMISSION (NESCOM)</t>
  </si>
  <si>
    <t>Kainat Enterprises (jv)</t>
  </si>
  <si>
    <t>Adamjee Engineering PVT</t>
  </si>
  <si>
    <t>K-Electric (Formerly KESC)7700084675</t>
  </si>
  <si>
    <t>STYLE STYROFOAM INDUSTRIES PVT LTD S.I.E. LAHORE.</t>
  </si>
  <si>
    <t>ARSHAD INDUSTRIES PVT LTD. LAHORE</t>
  </si>
  <si>
    <t>INCOMING PANELS. (31.5/40 MVA)</t>
  </si>
  <si>
    <t>INCOMING 31:40MVA PANEL</t>
  </si>
  <si>
    <t>INCOMING 20:26 MVA PANEL</t>
  </si>
  <si>
    <t>11kV LBS SWITCHBOARD</t>
  </si>
  <si>
    <t>11KV T/F PROTECTION PANEL</t>
  </si>
  <si>
    <t>11 kV HT Switchboard (1 I/C + 2 O/G)</t>
  </si>
  <si>
    <t>11 KV VCB PANEL CASSETTE TYPE 100/5/5A</t>
  </si>
  <si>
    <t>11KV, 25KA MV PANEL (CONSUMER TYPE)</t>
  </si>
  <si>
    <t>INCOMING</t>
  </si>
  <si>
    <t>LBS</t>
  </si>
  <si>
    <t>February</t>
  </si>
  <si>
    <t>1307757 758</t>
  </si>
  <si>
    <t>130759 760</t>
  </si>
  <si>
    <t>1307765 766</t>
  </si>
  <si>
    <t>1307737 738</t>
  </si>
  <si>
    <t>HADAYAT FOOD STUFFS INDUSTRIES (PVT) LTD MURIDKE</t>
  </si>
  <si>
    <t>AKBARI AGRICHEM PRIVATE LIMITED SHEIKHUPURA.</t>
  </si>
  <si>
    <t>Jubilee Corporation for Rehman Medical Institute, Peshawar</t>
  </si>
  <si>
    <t>PAKISTAN STEEL FURNACE HARIPUR</t>
  </si>
  <si>
    <t>SITARA ENGINEERING &amp; CONSTRUCTION COMPANY PESHAWAR</t>
  </si>
  <si>
    <t>Air Weapon Complex (AWC)</t>
  </si>
  <si>
    <t>Patients Aid Foundation</t>
  </si>
  <si>
    <t xml:space="preserve">PARAGON CONSTRUCTORS
(Project: Shaukat Khanum Memorial Cancer Hospital) </t>
  </si>
  <si>
    <t>S.B Enterprises</t>
  </si>
  <si>
    <t>Electric Gears Corporation</t>
  </si>
  <si>
    <t>Mehran Plastic Industries Pvt Ltd SITE Area Plant, Karachi</t>
  </si>
  <si>
    <t>Pakistan Economic Zone Development</t>
  </si>
  <si>
    <t>Electric Gears Corporation
Gandhara Autmobiles LTD</t>
  </si>
  <si>
    <t>K-Electric (Formerly KESC) 8200000941</t>
  </si>
  <si>
    <t>MEPCO</t>
  </si>
  <si>
    <t>INCOMING PANELS. (20/26 MVA)</t>
  </si>
  <si>
    <t>11kV Incoming Panel</t>
  </si>
  <si>
    <t>11kV Outgoing Panel</t>
  </si>
  <si>
    <t>11 kV Switchboard Panel (02 O/G &amp; 01 Dummy Panel)</t>
  </si>
  <si>
    <t>11 kV HT Incoming cum Outgoing Panel</t>
  </si>
  <si>
    <t>11kV MV 1 I/C 4 O/G SWITCHBOARD</t>
  </si>
  <si>
    <t>11KV 630A CT400/5 CASSETTE TYPE</t>
  </si>
  <si>
    <t>11KV 630A CT100/5/5 CASSETTE TYPE</t>
  </si>
  <si>
    <t>11 KV VCB PANEL CASSETTE TYPE 100/5/5A.</t>
  </si>
  <si>
    <t>11KV 630A CT400/5/5 CASSETTE TYPE</t>
  </si>
  <si>
    <t>11KV 630A CT600/5/5 CASSETTE TYPE</t>
  </si>
  <si>
    <t>11KV 630A CT600/5 CASSETTE TYPE</t>
  </si>
  <si>
    <t>11KV, 25KA, OUTGOING PANELS.</t>
  </si>
  <si>
    <t>March</t>
  </si>
  <si>
    <t>1307755 756</t>
  </si>
  <si>
    <t>1307808, 809</t>
  </si>
  <si>
    <t>April</t>
  </si>
  <si>
    <t>INDUS FRUITS PRODUCTS LTD. TEHSIL CHUNIAN KASUR</t>
  </si>
  <si>
    <t>SAPPHIRE TEXTILE MILLS LTD. SHEIKHUPURA</t>
  </si>
  <si>
    <t>Aujla &amp; Associates Town Developers PVT LTD</t>
  </si>
  <si>
    <t>UNION DEVELPPER PVT LTD LAHORE</t>
  </si>
  <si>
    <t>SW Sugar Mills Limited</t>
  </si>
  <si>
    <t>ELECTRIC GEARS CORPORATION</t>
  </si>
  <si>
    <t>K-Electric (Formerly KESC)</t>
  </si>
  <si>
    <t>Ht Panel (Owner Type)-Fg</t>
  </si>
  <si>
    <t>MV Switchboard</t>
  </si>
  <si>
    <t>11 KV VCB PANEL CASSETTE TYPE 400/5/5A</t>
  </si>
  <si>
    <t>1307798, 99</t>
  </si>
  <si>
    <t>1307753 754</t>
  </si>
  <si>
    <t>Mahmood Textiles Mills Ltd</t>
  </si>
  <si>
    <t>PURI FABRICS PRIVATE LIMITED JARAWALA ROAD FAISALABAD</t>
  </si>
  <si>
    <t xml:space="preserve">SAYA WEAVING MILLS (PRIVATE) LIMITED KARACHI. PROJECT: NOORIABAD </t>
  </si>
  <si>
    <t>Khilafat Cola</t>
  </si>
  <si>
    <t>A.S RICE MILLS. RAHIM YAR KHAN</t>
  </si>
  <si>
    <t>SAYA WEAVING MILLS (PRIVATE) LIMITED KARACHI. PROJECT: NOORIABAD</t>
  </si>
  <si>
    <t>PUNJAB SMALL CORPRORATION</t>
  </si>
  <si>
    <t>Mughal Brothers</t>
  </si>
  <si>
    <t>Patients Aid Foundation for Medical Tower PAF JPMC, Karachi</t>
  </si>
  <si>
    <t>LUCKYTEX PAKISTAN PVT. LTD</t>
  </si>
  <si>
    <t>ECR TECH Karachi</t>
  </si>
  <si>
    <t>Habib Khan - (Ali Enterprises)</t>
  </si>
  <si>
    <t>11 kV Switchboard (01 I/C &amp; 03 O/G)</t>
  </si>
  <si>
    <t>11kV MV PANEL (SMART PRO ADVANCE)</t>
  </si>
  <si>
    <t>May</t>
  </si>
  <si>
    <t xml:space="preserve">1307871,872
</t>
  </si>
  <si>
    <t xml:space="preserve">1307908,909
</t>
  </si>
  <si>
    <t>PREMIER SPINNING MILLS SMC PVT LTD.</t>
  </si>
  <si>
    <t>SUBHAN FABRES LIMITED LAHORE</t>
  </si>
  <si>
    <t>LAHORE MEDICAL AND DENTAL COLLEGE (PRIVATE) LIMITED</t>
  </si>
  <si>
    <t xml:space="preserve">Habib Construction (Pvt.) Ltd. For
Punjab Local Government Training </t>
  </si>
  <si>
    <t>DATA RICE MILL NAWABSHAH</t>
  </si>
  <si>
    <t>Edge Expert Muhammad Amjad Mughal</t>
  </si>
  <si>
    <t>Electric Gears Corpotation Karachi</t>
  </si>
  <si>
    <t>Ali Enterprises for Marvi Enterprises</t>
  </si>
  <si>
    <t>Ali Enterprises (Marvi Enterprises)</t>
  </si>
  <si>
    <t>11KV VCB PANEL CASSETTE TYPE-1 
400/5/5</t>
  </si>
  <si>
    <t>11 KV VCB PANEL</t>
  </si>
  <si>
    <t>Reworking Data</t>
  </si>
  <si>
    <t>PEOPLE STEEL MILLS (PSM)</t>
  </si>
  <si>
    <t xml:space="preserve">ELECTRICAL </t>
  </si>
  <si>
    <t>MACHNICAL</t>
  </si>
  <si>
    <t>Panel Type</t>
  </si>
  <si>
    <t xml:space="preserve">PRIVATE VCB REPARING </t>
  </si>
  <si>
    <t xml:space="preserve">EARTHSWITCH PAD REPLACE </t>
  </si>
  <si>
    <t xml:space="preserve">CT CHANGE </t>
  </si>
  <si>
    <t>LABLE CHANGE</t>
  </si>
  <si>
    <t xml:space="preserve">OWNER </t>
  </si>
  <si>
    <t>K.ELECTRIC</t>
  </si>
  <si>
    <t xml:space="preserve">INDUSTRIAL PANEL INSULATOR Replace </t>
  </si>
  <si>
    <t>OWNER PANEL BACKSHEET CHANGE</t>
  </si>
  <si>
    <t xml:space="preserve">Industrial </t>
  </si>
  <si>
    <t>OWNER</t>
  </si>
  <si>
    <t xml:space="preserve">INDUSTRIAL PANEL </t>
  </si>
  <si>
    <t>PARAGON  PANEL BACKSHEET CHANGE</t>
  </si>
  <si>
    <t>CASSETTE TYPE</t>
  </si>
  <si>
    <t xml:space="preserve">K.ELECTRIC </t>
  </si>
  <si>
    <t xml:space="preserve">CASSETTE TYPE </t>
  </si>
  <si>
    <t>Panel Welding Shop Man Hour's Calculation  (Hour's) 2026</t>
  </si>
  <si>
    <t>Category</t>
  </si>
  <si>
    <t>Product</t>
  </si>
  <si>
    <t>Standard Man Hours</t>
  </si>
  <si>
    <t>MV PANEL</t>
  </si>
  <si>
    <t>K-Electric Type A</t>
  </si>
  <si>
    <t>K-Electric Type B</t>
  </si>
  <si>
    <t>Net Available Hours</t>
  </si>
  <si>
    <t>Production Hours</t>
  </si>
  <si>
    <t>Difference</t>
  </si>
  <si>
    <t>Efficiency (%)</t>
  </si>
  <si>
    <t>Monthly Summary</t>
  </si>
  <si>
    <t>Panel Shops Performance Overview</t>
  </si>
  <si>
    <t>Absent Hours</t>
  </si>
  <si>
    <t>Breakdown Hours</t>
  </si>
  <si>
    <t>Gate Pass Hours</t>
  </si>
  <si>
    <t>Maintainence Hours</t>
  </si>
  <si>
    <t>Rework Hours</t>
  </si>
  <si>
    <t>total man hours</t>
  </si>
  <si>
    <t xml:space="preserve">LBS </t>
  </si>
  <si>
    <t>Cassette Type 2</t>
  </si>
  <si>
    <t>Cassette Type 1</t>
  </si>
  <si>
    <t>Submitted To:</t>
  </si>
  <si>
    <t>Intern ID:</t>
  </si>
  <si>
    <t>Name:</t>
  </si>
  <si>
    <t>Section:</t>
  </si>
  <si>
    <t>Muhammad  Haseeb</t>
  </si>
  <si>
    <t>Sir Abrar Amin</t>
  </si>
  <si>
    <t>Switchgear Production</t>
  </si>
  <si>
    <t>total quantity</t>
  </si>
  <si>
    <t xml:space="preserve"> HT Panels Final Aseembly Man Hour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</si>
</sst>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3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Aptos Display"/>
      <family val="1"/>
      <scheme val="major"/>
    </font>
    <font>
      <b/>
      <sz val="13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b/>
      <sz val="13"/>
      <color theme="1"/>
      <name val="Aptos Display"/>
      <family val="2"/>
      <scheme val="major"/>
    </font>
    <font>
      <sz val="12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1"/>
      <color theme="1"/>
      <name val="Times New Roman"/>
      <family val="1"/>
    </font>
    <font>
      <sz val="12"/>
      <color theme="1"/>
      <name val="Aptos Display"/>
      <family val="2"/>
      <scheme val="maj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3"/>
      <color rgb="FF0F1115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2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0"/>
      <name val="Segoe UI"/>
      <family val="2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D3FAE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8" fillId="0" borderId="0"/>
    <xf numFmtId="164" fontId="8" fillId="0" borderId="0"/>
  </cellStyleXfs>
  <cellXfs count="12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164" fontId="10" fillId="5" borderId="1" xfId="1" applyFont="1" applyFill="1" applyBorder="1" applyAlignment="1">
      <alignment horizontal="center" vertical="center" wrapText="1"/>
    </xf>
    <xf numFmtId="10" fontId="7" fillId="5" borderId="1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2" fillId="5" borderId="7" xfId="1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vertical="center" wrapText="1"/>
    </xf>
    <xf numFmtId="164" fontId="10" fillId="5" borderId="7" xfId="1" applyFont="1" applyFill="1" applyBorder="1" applyAlignment="1">
      <alignment horizontal="center" vertical="center" wrapText="1"/>
    </xf>
    <xf numFmtId="10" fontId="7" fillId="5" borderId="7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6" borderId="1" xfId="1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164" fontId="10" fillId="6" borderId="1" xfId="1" applyFont="1" applyFill="1" applyBorder="1" applyAlignment="1">
      <alignment horizontal="center" vertical="center" wrapText="1"/>
    </xf>
    <xf numFmtId="10" fontId="7" fillId="6" borderId="1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1" fillId="5" borderId="1" xfId="1" applyNumberFormat="1" applyFont="1" applyFill="1" applyBorder="1" applyAlignment="1">
      <alignment horizontal="center" vertical="center" wrapText="1"/>
    </xf>
    <xf numFmtId="0" fontId="11" fillId="6" borderId="1" xfId="1" applyNumberFormat="1" applyFont="1" applyFill="1" applyBorder="1" applyAlignment="1">
      <alignment horizontal="center" vertical="center" wrapText="1"/>
    </xf>
    <xf numFmtId="164" fontId="15" fillId="6" borderId="1" xfId="1" applyFont="1" applyFill="1" applyBorder="1" applyAlignment="1">
      <alignment horizontal="center" vertical="center" wrapText="1"/>
    </xf>
    <xf numFmtId="0" fontId="14" fillId="6" borderId="1" xfId="2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3" borderId="1" xfId="1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164" fontId="10" fillId="3" borderId="1" xfId="1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7" borderId="1" xfId="1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164" fontId="15" fillId="7" borderId="1" xfId="1" applyFont="1" applyFill="1" applyBorder="1" applyAlignment="1">
      <alignment horizontal="center" vertical="center" wrapText="1"/>
    </xf>
    <xf numFmtId="10" fontId="7" fillId="7" borderId="1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8" borderId="1" xfId="1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center" wrapText="1"/>
    </xf>
    <xf numFmtId="164" fontId="15" fillId="8" borderId="1" xfId="1" applyFont="1" applyFill="1" applyBorder="1" applyAlignment="1">
      <alignment horizontal="center" vertical="center" wrapText="1"/>
    </xf>
    <xf numFmtId="10" fontId="7" fillId="8" borderId="1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3" fillId="9" borderId="1" xfId="1" applyNumberFormat="1" applyFont="1" applyFill="1" applyBorder="1" applyAlignment="1">
      <alignment horizontal="center" vertical="center" wrapText="1"/>
    </xf>
    <xf numFmtId="1" fontId="12" fillId="9" borderId="1" xfId="1" applyNumberFormat="1" applyFont="1" applyFill="1" applyBorder="1" applyAlignment="1">
      <alignment horizontal="left" vertical="center" wrapText="1"/>
    </xf>
    <xf numFmtId="164" fontId="15" fillId="9" borderId="1" xfId="1" applyFont="1" applyFill="1" applyBorder="1" applyAlignment="1">
      <alignment horizontal="center" vertical="center" wrapText="1"/>
    </xf>
    <xf numFmtId="10" fontId="7" fillId="9" borderId="1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1" fontId="12" fillId="10" borderId="1" xfId="1" applyNumberFormat="1" applyFont="1" applyFill="1" applyBorder="1" applyAlignment="1">
      <alignment horizontal="center" vertical="center" wrapText="1"/>
    </xf>
    <xf numFmtId="164" fontId="17" fillId="10" borderId="1" xfId="1" applyFont="1" applyFill="1" applyBorder="1" applyAlignment="1">
      <alignment horizontal="center" vertical="center" wrapText="1"/>
    </xf>
    <xf numFmtId="10" fontId="7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/>
    </xf>
    <xf numFmtId="0" fontId="23" fillId="0" borderId="0" xfId="0" applyFont="1"/>
    <xf numFmtId="0" fontId="0" fillId="17" borderId="0" xfId="0" applyFill="1"/>
    <xf numFmtId="0" fontId="24" fillId="0" borderId="0" xfId="0" applyFont="1"/>
    <xf numFmtId="0" fontId="26" fillId="18" borderId="0" xfId="0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9" fontId="24" fillId="0" borderId="0" xfId="0" applyNumberFormat="1" applyFont="1"/>
    <xf numFmtId="0" fontId="28" fillId="0" borderId="0" xfId="0" applyFont="1"/>
    <xf numFmtId="0" fontId="27" fillId="0" borderId="0" xfId="0" applyFont="1"/>
    <xf numFmtId="0" fontId="27" fillId="0" borderId="0" xfId="0" applyFont="1" applyAlignment="1">
      <alignment horizontal="center"/>
    </xf>
    <xf numFmtId="0" fontId="29" fillId="0" borderId="0" xfId="0" applyFont="1"/>
    <xf numFmtId="0" fontId="21" fillId="14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</cellXfs>
  <cellStyles count="3">
    <cellStyle name="Normal" xfId="0" builtinId="0"/>
    <cellStyle name="Normal 5" xfId="2" xr:uid="{8D53B58B-5865-4534-A66E-D92F3E902966}"/>
    <cellStyle name="Normal 6" xfId="1" xr:uid="{D6C93C2F-CAA6-41E1-98C1-465DE4C9B3D6}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F1115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1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2" defaultTableStyle="TableStyleMedium2" defaultPivotStyle="PivotStyleLight16">
    <tableStyle name="Table Style 1" pivot="0" count="0" xr9:uid="{B7434D2E-6039-476D-8760-63C57D1CE829}"/>
    <tableStyle name="Table Style 2" pivot="0" count="0" xr9:uid="{33C1D37A-AE39-4611-8A81-2CA58FACC14E}"/>
  </tableStyles>
  <colors>
    <mruColors>
      <color rgb="FFFFCC99"/>
      <color rgb="FFFFCCCC"/>
      <color rgb="FFFF9966"/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Available</a:t>
            </a:r>
            <a:r>
              <a:rPr lang="en-US" sz="1800" b="1" baseline="0"/>
              <a:t> Hours VS Production Hours</a:t>
            </a:r>
          </a:p>
          <a:p>
            <a:pPr>
              <a:defRPr sz="1800" b="1"/>
            </a:pP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Summary'!$C$2</c:f>
              <c:strCache>
                <c:ptCount val="1"/>
                <c:pt idx="0">
                  <c:v>Net Available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2.205071664829115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97-417C-803B-0517435E8AB6}"/>
                </c:ext>
              </c:extLst>
            </c:dLbl>
            <c:dLbl>
              <c:idx val="6"/>
              <c:layout>
                <c:manualLayout>
                  <c:x val="-3.0871003307607496E-2"/>
                  <c:y val="-3.57781753130591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97-417C-803B-0517435E8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Summary'!$A$3:$A$9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'Monthly Summary'!$C$3:$C$9</c:f>
              <c:numCache>
                <c:formatCode>General</c:formatCode>
                <c:ptCount val="7"/>
                <c:pt idx="0">
                  <c:v>9479.48</c:v>
                </c:pt>
                <c:pt idx="1">
                  <c:v>9450.56</c:v>
                </c:pt>
                <c:pt idx="2">
                  <c:v>7668.08</c:v>
                </c:pt>
                <c:pt idx="3">
                  <c:v>8684.9599999999991</c:v>
                </c:pt>
                <c:pt idx="4">
                  <c:v>6996.16</c:v>
                </c:pt>
                <c:pt idx="5">
                  <c:v>8632.119999999999</c:v>
                </c:pt>
                <c:pt idx="6">
                  <c:v>12750.4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7-417C-803B-0517435E8AB6}"/>
            </c:ext>
          </c:extLst>
        </c:ser>
        <c:ser>
          <c:idx val="1"/>
          <c:order val="1"/>
          <c:tx>
            <c:strRef>
              <c:f>'Monthly Summary'!$D$2</c:f>
              <c:strCache>
                <c:ptCount val="1"/>
                <c:pt idx="0">
                  <c:v>Production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7486218302094816E-2"/>
                  <c:y val="-1.43112701252236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97-417C-803B-0517435E8AB6}"/>
                </c:ext>
              </c:extLst>
            </c:dLbl>
            <c:dLbl>
              <c:idx val="2"/>
              <c:layout>
                <c:manualLayout>
                  <c:x val="1.764057331863277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397-417C-803B-0517435E8AB6}"/>
                </c:ext>
              </c:extLst>
            </c:dLbl>
            <c:dLbl>
              <c:idx val="4"/>
              <c:layout>
                <c:manualLayout>
                  <c:x val="1.5435501653803668E-2"/>
                  <c:y val="-6.559256367638207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97-417C-803B-0517435E8AB6}"/>
                </c:ext>
              </c:extLst>
            </c:dLbl>
            <c:dLbl>
              <c:idx val="5"/>
              <c:layout>
                <c:manualLayout>
                  <c:x val="1.7640573318632856E-2"/>
                  <c:y val="-7.15563506261180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97-417C-803B-0517435E8AB6}"/>
                </c:ext>
              </c:extLst>
            </c:dLbl>
            <c:dLbl>
              <c:idx val="6"/>
              <c:layout>
                <c:manualLayout>
                  <c:x val="6.615214994487321E-3"/>
                  <c:y val="-1.7889087656529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97-417C-803B-0517435E8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Summary'!$A$3:$A$9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'Monthly Summary'!$D$3:$D$9</c:f>
              <c:numCache>
                <c:formatCode>General</c:formatCode>
                <c:ptCount val="7"/>
                <c:pt idx="0">
                  <c:v>5019</c:v>
                </c:pt>
                <c:pt idx="1">
                  <c:v>9250.5</c:v>
                </c:pt>
                <c:pt idx="2">
                  <c:v>5444.5</c:v>
                </c:pt>
                <c:pt idx="3">
                  <c:v>6576</c:v>
                </c:pt>
                <c:pt idx="4">
                  <c:v>5317.5</c:v>
                </c:pt>
                <c:pt idx="5">
                  <c:v>8412.5</c:v>
                </c:pt>
                <c:pt idx="6">
                  <c:v>12436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7-417C-803B-0517435E8A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2095328"/>
        <c:axId val="481623856"/>
      </c:barChart>
      <c:catAx>
        <c:axId val="115209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23856"/>
        <c:crosses val="autoZero"/>
        <c:auto val="1"/>
        <c:lblAlgn val="ctr"/>
        <c:lblOffset val="100"/>
        <c:noMultiLvlLbl val="0"/>
      </c:catAx>
      <c:valAx>
        <c:axId val="48162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layout>
            <c:manualLayout>
              <c:xMode val="edge"/>
              <c:yMode val="edge"/>
              <c:x val="2.4255788313120176E-2"/>
              <c:y val="0.38149648556899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9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(%)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Summary'!$F$2</c:f>
              <c:strCache>
                <c:ptCount val="1"/>
                <c:pt idx="0">
                  <c:v>Efficiency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'Monthly Summary'!$A$3:$A$9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'Monthly Summary'!$F$3:$F$9</c:f>
              <c:numCache>
                <c:formatCode>0%</c:formatCode>
                <c:ptCount val="7"/>
                <c:pt idx="0">
                  <c:v>0.52945942182482586</c:v>
                </c:pt>
                <c:pt idx="1">
                  <c:v>0.97883088409575736</c:v>
                </c:pt>
                <c:pt idx="2">
                  <c:v>0.71002128303304091</c:v>
                </c:pt>
                <c:pt idx="3">
                  <c:v>0.75717101748309734</c:v>
                </c:pt>
                <c:pt idx="4">
                  <c:v>0.76005980423546637</c:v>
                </c:pt>
                <c:pt idx="5">
                  <c:v>0.9745578143028597</c:v>
                </c:pt>
                <c:pt idx="6">
                  <c:v>0.97534195005646884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8-492D-8E62-2157B689A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756592"/>
        <c:axId val="481595536"/>
      </c:lineChart>
      <c:catAx>
        <c:axId val="115375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95536"/>
        <c:crosses val="autoZero"/>
        <c:auto val="1"/>
        <c:lblAlgn val="ctr"/>
        <c:lblOffset val="100"/>
        <c:noMultiLvlLbl val="0"/>
      </c:catAx>
      <c:valAx>
        <c:axId val="48159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5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Losses</a:t>
            </a:r>
            <a:r>
              <a:rPr lang="en-US" baseline="0"/>
              <a:t>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45-4B35-B46D-A52285BE79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45-4B35-B46D-A52285BE79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D45-4B35-B46D-A52285BE79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45-4B35-B46D-A52285BE79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D45-4B35-B46D-A52285BE79E1}"/>
              </c:ext>
            </c:extLst>
          </c:dPt>
          <c:dLbls>
            <c:dLbl>
              <c:idx val="0"/>
              <c:layout>
                <c:manualLayout>
                  <c:x val="0.18064516129032246"/>
                  <c:y val="-0.120171673819742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45-4B35-B46D-A52285BE79E1}"/>
                </c:ext>
              </c:extLst>
            </c:dLbl>
            <c:dLbl>
              <c:idx val="1"/>
              <c:layout>
                <c:manualLayout>
                  <c:x val="-0.17695852534562212"/>
                  <c:y val="0.1716738197424892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45-4B35-B46D-A52285BE79E1}"/>
                </c:ext>
              </c:extLst>
            </c:dLbl>
            <c:dLbl>
              <c:idx val="2"/>
              <c:layout>
                <c:manualLayout>
                  <c:x val="-0.25437788018433177"/>
                  <c:y val="6.43776824034334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45-4B35-B46D-A52285BE79E1}"/>
                </c:ext>
              </c:extLst>
            </c:dLbl>
            <c:dLbl>
              <c:idx val="3"/>
              <c:layout>
                <c:manualLayout>
                  <c:x val="-0.30967741935483872"/>
                  <c:y val="-0.1201716738197424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45-4B35-B46D-A52285BE79E1}"/>
                </c:ext>
              </c:extLst>
            </c:dLbl>
            <c:dLbl>
              <c:idx val="4"/>
              <c:layout>
                <c:manualLayout>
                  <c:x val="0.30230414746543777"/>
                  <c:y val="-5.15021459227467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45-4B35-B46D-A52285BE79E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Dashboard!$AE$1:$AE$5</c:f>
              <c:strCache>
                <c:ptCount val="5"/>
                <c:pt idx="0">
                  <c:v>Absent Hours</c:v>
                </c:pt>
                <c:pt idx="1">
                  <c:v>Gate Pass Hours</c:v>
                </c:pt>
                <c:pt idx="2">
                  <c:v>Breakdown Hours</c:v>
                </c:pt>
                <c:pt idx="3">
                  <c:v>Maintainence Hours</c:v>
                </c:pt>
                <c:pt idx="4">
                  <c:v>Rework Hours</c:v>
                </c:pt>
              </c:strCache>
            </c:strRef>
          </c:cat>
          <c:val>
            <c:numRef>
              <c:f>Dashboard!$AF$1:$AF$5</c:f>
              <c:numCache>
                <c:formatCode>General</c:formatCode>
                <c:ptCount val="5"/>
                <c:pt idx="0">
                  <c:v>1328.3999999999999</c:v>
                </c:pt>
                <c:pt idx="1">
                  <c:v>442.8</c:v>
                </c:pt>
                <c:pt idx="2">
                  <c:v>177.12</c:v>
                </c:pt>
                <c:pt idx="3">
                  <c:v>10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5-4B35-B46D-A52285BE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man hours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Dashboard!$AC$10</c:f>
              <c:strCache>
                <c:ptCount val="1"/>
                <c:pt idx="0">
                  <c:v>total man hours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Dashboard!$AB$11:$AB$22</c:f>
              <c:strCache>
                <c:ptCount val="12"/>
                <c:pt idx="0">
                  <c:v>INCOMING</c:v>
                </c:pt>
                <c:pt idx="1">
                  <c:v>Outgoing Panel</c:v>
                </c:pt>
                <c:pt idx="2">
                  <c:v>Capacitor Control Panel</c:v>
                </c:pt>
                <c:pt idx="3">
                  <c:v>Consumer Panel</c:v>
                </c:pt>
                <c:pt idx="4">
                  <c:v>Owner</c:v>
                </c:pt>
                <c:pt idx="5">
                  <c:v>Industrial</c:v>
                </c:pt>
                <c:pt idx="6">
                  <c:v>Bus Coupler Panel</c:v>
                </c:pt>
                <c:pt idx="7">
                  <c:v>K-Electric Type A</c:v>
                </c:pt>
                <c:pt idx="8">
                  <c:v>K-Electric Type B</c:v>
                </c:pt>
                <c:pt idx="9">
                  <c:v>Cassette Type-1</c:v>
                </c:pt>
                <c:pt idx="10">
                  <c:v>Cassette Type-2</c:v>
                </c:pt>
                <c:pt idx="11">
                  <c:v>LBS</c:v>
                </c:pt>
              </c:strCache>
            </c:strRef>
          </c:cat>
          <c:val>
            <c:numRef>
              <c:f>Dashboard!$AC$11:$AC$22</c:f>
              <c:numCache>
                <c:formatCode>General</c:formatCode>
                <c:ptCount val="12"/>
                <c:pt idx="0">
                  <c:v>1650</c:v>
                </c:pt>
                <c:pt idx="1">
                  <c:v>0</c:v>
                </c:pt>
                <c:pt idx="2">
                  <c:v>0</c:v>
                </c:pt>
                <c:pt idx="3">
                  <c:v>145</c:v>
                </c:pt>
                <c:pt idx="4">
                  <c:v>508</c:v>
                </c:pt>
                <c:pt idx="5">
                  <c:v>605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980</c:v>
                </c:pt>
                <c:pt idx="10">
                  <c:v>735</c:v>
                </c:pt>
                <c:pt idx="1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3-4B81-8B51-4DDE9FCBB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0886080"/>
        <c:axId val="1338061424"/>
      </c:barChart>
      <c:catAx>
        <c:axId val="163088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MV Panels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61424"/>
        <c:crosses val="autoZero"/>
        <c:auto val="1"/>
        <c:lblAlgn val="ctr"/>
        <c:lblOffset val="100"/>
        <c:noMultiLvlLbl val="0"/>
      </c:catAx>
      <c:valAx>
        <c:axId val="13380614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 Hours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Dashboard!$AI$1</c:f>
              <c:strCache>
                <c:ptCount val="1"/>
                <c:pt idx="0">
                  <c:v>Rework Hours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Dashboard!$AH$2:$AH$8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Dashboard!$AI$2:$AI$8</c:f>
              <c:numCache>
                <c:formatCode>General</c:formatCode>
                <c:ptCount val="7"/>
                <c:pt idx="0">
                  <c:v>201</c:v>
                </c:pt>
                <c:pt idx="1">
                  <c:v>1313</c:v>
                </c:pt>
                <c:pt idx="2">
                  <c:v>1073</c:v>
                </c:pt>
                <c:pt idx="3">
                  <c:v>489.5</c:v>
                </c:pt>
                <c:pt idx="4">
                  <c:v>192.5</c:v>
                </c:pt>
                <c:pt idx="5">
                  <c:v>0</c:v>
                </c:pt>
                <c:pt idx="6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B-42CA-849E-53129ABCD0E8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23925008"/>
        <c:axId val="1632215696"/>
      </c:lineChart>
      <c:catAx>
        <c:axId val="172392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15696"/>
        <c:crosses val="autoZero"/>
        <c:auto val="1"/>
        <c:lblAlgn val="ctr"/>
        <c:lblOffset val="100"/>
        <c:noMultiLvlLbl val="0"/>
      </c:catAx>
      <c:valAx>
        <c:axId val="16322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2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Data'!$O$2</c:f>
              <c:strCache>
                <c:ptCount val="1"/>
                <c:pt idx="0">
                  <c:v>Overtime 
Hrs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Data'!$A$3:$A$9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'Monthly Data'!$O$3:$O$9</c:f>
              <c:numCache>
                <c:formatCode>General</c:formatCode>
                <c:ptCount val="7"/>
                <c:pt idx="0">
                  <c:v>2656.7999999999997</c:v>
                </c:pt>
                <c:pt idx="1">
                  <c:v>2649.6</c:v>
                </c:pt>
                <c:pt idx="2">
                  <c:v>2152.7999999999997</c:v>
                </c:pt>
                <c:pt idx="3">
                  <c:v>2433.6</c:v>
                </c:pt>
                <c:pt idx="4">
                  <c:v>1965.6</c:v>
                </c:pt>
                <c:pt idx="5">
                  <c:v>2419.1999999999998</c:v>
                </c:pt>
                <c:pt idx="6">
                  <c:v>3564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4-4F41-AB7B-DB7F64A701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0931088"/>
        <c:axId val="1632216176"/>
      </c:lineChart>
      <c:catAx>
        <c:axId val="163093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16176"/>
        <c:crosses val="autoZero"/>
        <c:auto val="1"/>
        <c:lblAlgn val="ctr"/>
        <c:lblOffset val="100"/>
        <c:noMultiLvlLbl val="0"/>
      </c:catAx>
      <c:valAx>
        <c:axId val="16322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3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 Difference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Summary'!$E$2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Summary'!$A$3:$A$9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'Monthly Summary'!$E$3:$E$9</c:f>
              <c:numCache>
                <c:formatCode>General</c:formatCode>
                <c:ptCount val="7"/>
                <c:pt idx="0">
                  <c:v>4460.4799999999996</c:v>
                </c:pt>
                <c:pt idx="1">
                  <c:v>200.05999999999949</c:v>
                </c:pt>
                <c:pt idx="2">
                  <c:v>2223.58</c:v>
                </c:pt>
                <c:pt idx="3">
                  <c:v>2108.9599999999991</c:v>
                </c:pt>
                <c:pt idx="4">
                  <c:v>1678.6599999999999</c:v>
                </c:pt>
                <c:pt idx="5">
                  <c:v>219.61999999999898</c:v>
                </c:pt>
                <c:pt idx="6">
                  <c:v>314.39999999999964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7-4A48-994E-2832A8486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591358864"/>
        <c:axId val="1632162896"/>
        <c:axId val="0"/>
      </c:bar3DChart>
      <c:catAx>
        <c:axId val="159135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62896"/>
        <c:crosses val="autoZero"/>
        <c:auto val="1"/>
        <c:lblAlgn val="ctr"/>
        <c:lblOffset val="100"/>
        <c:noMultiLvlLbl val="0"/>
      </c:catAx>
      <c:valAx>
        <c:axId val="16321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5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Dashboard!$AD$10</c:f>
              <c:strCache>
                <c:ptCount val="1"/>
                <c:pt idx="0">
                  <c:v>total quantity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Dashboard!$AB$11:$AB$22</c:f>
              <c:strCache>
                <c:ptCount val="12"/>
                <c:pt idx="0">
                  <c:v>INCOMING</c:v>
                </c:pt>
                <c:pt idx="1">
                  <c:v>Outgoing Panel</c:v>
                </c:pt>
                <c:pt idx="2">
                  <c:v>Capacitor Control Panel</c:v>
                </c:pt>
                <c:pt idx="3">
                  <c:v>Consumer Panel</c:v>
                </c:pt>
                <c:pt idx="4">
                  <c:v>Owner</c:v>
                </c:pt>
                <c:pt idx="5">
                  <c:v>Industrial</c:v>
                </c:pt>
                <c:pt idx="6">
                  <c:v>Bus Coupler Panel</c:v>
                </c:pt>
                <c:pt idx="7">
                  <c:v>K-Electric Type A</c:v>
                </c:pt>
                <c:pt idx="8">
                  <c:v>K-Electric Type B</c:v>
                </c:pt>
                <c:pt idx="9">
                  <c:v>Cassette Type-1</c:v>
                </c:pt>
                <c:pt idx="10">
                  <c:v>Cassette Type-2</c:v>
                </c:pt>
                <c:pt idx="11">
                  <c:v>LBS</c:v>
                </c:pt>
              </c:strCache>
            </c:strRef>
          </c:cat>
          <c:val>
            <c:numRef>
              <c:f>Dashboard!$AD$11:$AD$22</c:f>
              <c:numCache>
                <c:formatCode>General</c:formatCode>
                <c:ptCount val="1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B-4071-B948-3A53E620E3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98777791"/>
        <c:axId val="998051919"/>
      </c:barChart>
      <c:catAx>
        <c:axId val="119877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MV Panels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51919"/>
        <c:crosses val="autoZero"/>
        <c:auto val="1"/>
        <c:lblAlgn val="ctr"/>
        <c:lblOffset val="100"/>
        <c:noMultiLvlLbl val="0"/>
      </c:catAx>
      <c:valAx>
        <c:axId val="99805191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77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0</xdr:row>
      <xdr:rowOff>0</xdr:rowOff>
    </xdr:from>
    <xdr:to>
      <xdr:col>9</xdr:col>
      <xdr:colOff>279401</xdr:colOff>
      <xdr:row>10</xdr:row>
      <xdr:rowOff>169387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F1DBB-102D-2DDB-0580-5DD28301A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1" y="0"/>
          <a:ext cx="2070100" cy="20108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4</xdr:row>
      <xdr:rowOff>177800</xdr:rowOff>
    </xdr:from>
    <xdr:to>
      <xdr:col>5</xdr:col>
      <xdr:colOff>158750</xdr:colOff>
      <xdr:row>9</xdr:row>
      <xdr:rowOff>92710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4036F85-E98A-45CE-ABAB-16987B32DBC3}"/>
            </a:ext>
          </a:extLst>
        </xdr:cNvPr>
        <xdr:cNvSpPr/>
      </xdr:nvSpPr>
      <xdr:spPr>
        <a:xfrm>
          <a:off x="247650" y="1174750"/>
          <a:ext cx="2959100" cy="835660"/>
        </a:xfrm>
        <a:prstGeom prst="round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300" b="1"/>
            <a:t>Net Available Hours</a:t>
          </a:r>
        </a:p>
      </xdr:txBody>
    </xdr:sp>
    <xdr:clientData/>
  </xdr:twoCellAnchor>
  <xdr:twoCellAnchor>
    <xdr:from>
      <xdr:col>5</xdr:col>
      <xdr:colOff>520700</xdr:colOff>
      <xdr:row>4</xdr:row>
      <xdr:rowOff>177800</xdr:rowOff>
    </xdr:from>
    <xdr:to>
      <xdr:col>10</xdr:col>
      <xdr:colOff>501650</xdr:colOff>
      <xdr:row>9</xdr:row>
      <xdr:rowOff>92710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3D04E8F-71ED-484A-947C-B4305BBB7DF3}"/>
            </a:ext>
          </a:extLst>
        </xdr:cNvPr>
        <xdr:cNvSpPr/>
      </xdr:nvSpPr>
      <xdr:spPr>
        <a:xfrm>
          <a:off x="3568700" y="1174750"/>
          <a:ext cx="3028950" cy="835660"/>
        </a:xfrm>
        <a:prstGeom prst="round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300" b="1"/>
            <a:t>Production Hours</a:t>
          </a:r>
        </a:p>
      </xdr:txBody>
    </xdr:sp>
    <xdr:clientData/>
  </xdr:twoCellAnchor>
  <xdr:twoCellAnchor>
    <xdr:from>
      <xdr:col>11</xdr:col>
      <xdr:colOff>215900</xdr:colOff>
      <xdr:row>4</xdr:row>
      <xdr:rowOff>177800</xdr:rowOff>
    </xdr:from>
    <xdr:to>
      <xdr:col>16</xdr:col>
      <xdr:colOff>69850</xdr:colOff>
      <xdr:row>9</xdr:row>
      <xdr:rowOff>92710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77D22B7-AA2C-4AB5-A776-C85F59E5A511}"/>
            </a:ext>
          </a:extLst>
        </xdr:cNvPr>
        <xdr:cNvSpPr/>
      </xdr:nvSpPr>
      <xdr:spPr>
        <a:xfrm>
          <a:off x="6921500" y="1174750"/>
          <a:ext cx="2901950" cy="835660"/>
        </a:xfrm>
        <a:prstGeom prst="round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Difference</a:t>
          </a:r>
        </a:p>
      </xdr:txBody>
    </xdr:sp>
    <xdr:clientData/>
  </xdr:twoCellAnchor>
  <xdr:twoCellAnchor>
    <xdr:from>
      <xdr:col>16</xdr:col>
      <xdr:colOff>469900</xdr:colOff>
      <xdr:row>4</xdr:row>
      <xdr:rowOff>171450</xdr:rowOff>
    </xdr:from>
    <xdr:to>
      <xdr:col>21</xdr:col>
      <xdr:colOff>95250</xdr:colOff>
      <xdr:row>9</xdr:row>
      <xdr:rowOff>86360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943E35D-EA08-45DB-A99C-9706F2D3F1A0}"/>
            </a:ext>
          </a:extLst>
        </xdr:cNvPr>
        <xdr:cNvSpPr/>
      </xdr:nvSpPr>
      <xdr:spPr>
        <a:xfrm>
          <a:off x="10223500" y="1498600"/>
          <a:ext cx="2673350" cy="835660"/>
        </a:xfrm>
        <a:prstGeom prst="round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Efficiency(%)</a:t>
          </a:r>
        </a:p>
      </xdr:txBody>
    </xdr:sp>
    <xdr:clientData/>
  </xdr:twoCellAnchor>
  <xdr:twoCellAnchor>
    <xdr:from>
      <xdr:col>0</xdr:col>
      <xdr:colOff>406400</xdr:colOff>
      <xdr:row>6</xdr:row>
      <xdr:rowOff>107950</xdr:rowOff>
    </xdr:from>
    <xdr:to>
      <xdr:col>4</xdr:col>
      <xdr:colOff>495300</xdr:colOff>
      <xdr:row>8</xdr:row>
      <xdr:rowOff>173143</xdr:rowOff>
    </xdr:to>
    <xdr:sp macro="" textlink="$B$66">
      <xdr:nvSpPr>
        <xdr:cNvPr id="7" name="TextBox 6">
          <a:extLst>
            <a:ext uri="{FF2B5EF4-FFF2-40B4-BE49-F238E27FC236}">
              <a16:creationId xmlns:a16="http://schemas.microsoft.com/office/drawing/2014/main" id="{D9C13CDD-A56C-4143-B14D-9645C3333DAB}"/>
            </a:ext>
          </a:extLst>
        </xdr:cNvPr>
        <xdr:cNvSpPr txBox="1"/>
      </xdr:nvSpPr>
      <xdr:spPr>
        <a:xfrm>
          <a:off x="406400" y="1473200"/>
          <a:ext cx="2527300" cy="4334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9046BC0-1F8F-47B0-9176-3BF6D3CA677B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9479.48</a:t>
          </a:fld>
          <a:endParaRPr lang="en-US" sz="24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6</xdr:col>
      <xdr:colOff>139700</xdr:colOff>
      <xdr:row>6</xdr:row>
      <xdr:rowOff>120650</xdr:rowOff>
    </xdr:from>
    <xdr:to>
      <xdr:col>10</xdr:col>
      <xdr:colOff>273050</xdr:colOff>
      <xdr:row>9</xdr:row>
      <xdr:rowOff>1693</xdr:rowOff>
    </xdr:to>
    <xdr:sp macro="" textlink="$B$68">
      <xdr:nvSpPr>
        <xdr:cNvPr id="8" name="TextBox 7">
          <a:extLst>
            <a:ext uri="{FF2B5EF4-FFF2-40B4-BE49-F238E27FC236}">
              <a16:creationId xmlns:a16="http://schemas.microsoft.com/office/drawing/2014/main" id="{3495CE80-8E06-4826-B516-257870B2F75D}"/>
            </a:ext>
          </a:extLst>
        </xdr:cNvPr>
        <xdr:cNvSpPr txBox="1"/>
      </xdr:nvSpPr>
      <xdr:spPr>
        <a:xfrm>
          <a:off x="3797300" y="1485900"/>
          <a:ext cx="2571750" cy="4334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8636302-4C0E-43C1-A5D8-09320F009BE3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5019</a:t>
          </a:fld>
          <a:endParaRPr lang="en-US" sz="24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11</xdr:col>
      <xdr:colOff>381000</xdr:colOff>
      <xdr:row>6</xdr:row>
      <xdr:rowOff>120650</xdr:rowOff>
    </xdr:from>
    <xdr:to>
      <xdr:col>15</xdr:col>
      <xdr:colOff>539750</xdr:colOff>
      <xdr:row>9</xdr:row>
      <xdr:rowOff>1693</xdr:rowOff>
    </xdr:to>
    <xdr:sp macro="" textlink="$B$69">
      <xdr:nvSpPr>
        <xdr:cNvPr id="9" name="TextBox 8">
          <a:extLst>
            <a:ext uri="{FF2B5EF4-FFF2-40B4-BE49-F238E27FC236}">
              <a16:creationId xmlns:a16="http://schemas.microsoft.com/office/drawing/2014/main" id="{3E4D52C0-49D4-433E-8E9A-548B12F2E2D0}"/>
            </a:ext>
          </a:extLst>
        </xdr:cNvPr>
        <xdr:cNvSpPr txBox="1"/>
      </xdr:nvSpPr>
      <xdr:spPr>
        <a:xfrm>
          <a:off x="7086600" y="1485900"/>
          <a:ext cx="2597150" cy="4334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2A4AE01-73AC-445F-9B83-73F816417A46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4460.48</a:t>
          </a:fld>
          <a:endParaRPr lang="en-US" sz="24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16</xdr:col>
      <xdr:colOff>590550</xdr:colOff>
      <xdr:row>6</xdr:row>
      <xdr:rowOff>127000</xdr:rowOff>
    </xdr:from>
    <xdr:to>
      <xdr:col>20</xdr:col>
      <xdr:colOff>596900</xdr:colOff>
      <xdr:row>9</xdr:row>
      <xdr:rowOff>8043</xdr:rowOff>
    </xdr:to>
    <xdr:sp macro="" textlink="$C$71">
      <xdr:nvSpPr>
        <xdr:cNvPr id="10" name="TextBox 9">
          <a:extLst>
            <a:ext uri="{FF2B5EF4-FFF2-40B4-BE49-F238E27FC236}">
              <a16:creationId xmlns:a16="http://schemas.microsoft.com/office/drawing/2014/main" id="{F405B672-7646-4CCB-AAEB-4F6F079A322D}"/>
            </a:ext>
          </a:extLst>
        </xdr:cNvPr>
        <xdr:cNvSpPr txBox="1"/>
      </xdr:nvSpPr>
      <xdr:spPr>
        <a:xfrm>
          <a:off x="10344150" y="1822450"/>
          <a:ext cx="2444750" cy="4334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AB89B57-134C-40D0-B693-FC726D4DA0C4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53%</a:t>
          </a:fld>
          <a:endParaRPr lang="en-US" sz="24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0</xdr:col>
      <xdr:colOff>171450</xdr:colOff>
      <xdr:row>11</xdr:row>
      <xdr:rowOff>139700</xdr:rowOff>
    </xdr:from>
    <xdr:to>
      <xdr:col>9</xdr:col>
      <xdr:colOff>476250</xdr:colOff>
      <xdr:row>28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D0B466-98FE-4B7B-B37E-56A8F5F9E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565150</xdr:colOff>
      <xdr:row>11</xdr:row>
      <xdr:rowOff>152400</xdr:rowOff>
    </xdr:from>
    <xdr:to>
      <xdr:col>15</xdr:col>
      <xdr:colOff>450850</xdr:colOff>
      <xdr:row>28</xdr:row>
      <xdr:rowOff>6350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B898FC-F29D-4242-AAAC-B84F33EF4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542925</xdr:colOff>
      <xdr:row>11</xdr:row>
      <xdr:rowOff>171450</xdr:rowOff>
    </xdr:from>
    <xdr:to>
      <xdr:col>21</xdr:col>
      <xdr:colOff>330200</xdr:colOff>
      <xdr:row>28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3D6C23D-D0CE-9D49-B59F-435563952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74916</xdr:colOff>
      <xdr:row>29</xdr:row>
      <xdr:rowOff>28913</xdr:rowOff>
    </xdr:from>
    <xdr:to>
      <xdr:col>13</xdr:col>
      <xdr:colOff>168883</xdr:colOff>
      <xdr:row>44</xdr:row>
      <xdr:rowOff>9863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B121C51-D56B-EC6D-538F-606D354C4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25062</xdr:colOff>
      <xdr:row>45</xdr:row>
      <xdr:rowOff>49177</xdr:rowOff>
    </xdr:from>
    <xdr:to>
      <xdr:col>22</xdr:col>
      <xdr:colOff>445851</xdr:colOff>
      <xdr:row>60</xdr:row>
      <xdr:rowOff>23778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D93F654-6EA9-4C5C-13FB-2902DEFA0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161992</xdr:colOff>
      <xdr:row>45</xdr:row>
      <xdr:rowOff>40127</xdr:rowOff>
    </xdr:from>
    <xdr:to>
      <xdr:col>7</xdr:col>
      <xdr:colOff>465171</xdr:colOff>
      <xdr:row>60</xdr:row>
      <xdr:rowOff>22833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4D4E13D-21E7-4C30-BEB4-9AFD0D584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46477</xdr:colOff>
      <xdr:row>45</xdr:row>
      <xdr:rowOff>35939</xdr:rowOff>
    </xdr:from>
    <xdr:to>
      <xdr:col>15</xdr:col>
      <xdr:colOff>349656</xdr:colOff>
      <xdr:row>60</xdr:row>
      <xdr:rowOff>16889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2DE37E7-B6DB-4814-94F9-F7F8A512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229681</xdr:colOff>
      <xdr:row>29</xdr:row>
      <xdr:rowOff>16615</xdr:rowOff>
    </xdr:from>
    <xdr:to>
      <xdr:col>22</xdr:col>
      <xdr:colOff>526239</xdr:colOff>
      <xdr:row>44</xdr:row>
      <xdr:rowOff>23910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AFDDCF-2255-5AFB-0C0B-A71A8D0E0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870C3-7E01-4E75-B8FC-F792B74B7214}" name="Table3" displayName="Table3" ref="A2:C14" totalsRowShown="0" headerRowDxfId="54" dataDxfId="52" headerRowBorderDxfId="53" tableBorderDxfId="51" totalsRowBorderDxfId="50">
  <autoFilter ref="A2:C14" xr:uid="{D1F870C3-7E01-4E75-B8FC-F792B74B7214}"/>
  <tableColumns count="3">
    <tableColumn id="1" xr3:uid="{2BD350FE-E40A-463C-BA15-6AC5B092051C}" name="Category" dataDxfId="49"/>
    <tableColumn id="2" xr3:uid="{49E5E2AC-F0E5-4FA3-A891-3F8E75FF5B3B}" name="Product" dataDxfId="48"/>
    <tableColumn id="3" xr3:uid="{2D99BDCD-AF88-422A-BE16-7D5C667798E9}" name="Standard Man Hours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7F953-5D08-4F90-B50E-4652C99B075F}" name="Table2" displayName="Table2" ref="A2:Q12" totalsRowShown="0" headerRowDxfId="46" dataDxfId="44" headerRowBorderDxfId="45" tableBorderDxfId="43" totalsRowBorderDxfId="42">
  <autoFilter ref="A2:Q12" xr:uid="{15C7F953-5D08-4F90-B50E-4652C99B075F}"/>
  <tableColumns count="17">
    <tableColumn id="1" xr3:uid="{B4ACD934-B75D-4702-A567-75B10C94DE9E}" name="Month" dataDxfId="41"/>
    <tableColumn id="2" xr3:uid="{41C4718F-8DCB-47B5-ABE4-E01171B0447B}" name="Years" dataDxfId="40"/>
    <tableColumn id="3" xr3:uid="{3B5D688A-338F-4A40-9AAC-4D305369389F}" name="Employees" dataDxfId="39"/>
    <tableColumn id="4" xr3:uid="{4EDCF2E5-DD8D-481C-A099-DB23D313FCA4}" name="Shift_x000a_Hrs/Day " dataDxfId="38"/>
    <tableColumn id="5" xr3:uid="{265B4D76-99B8-4A3F-B6E9-759DDEE34BA4}" name="Total Days" dataDxfId="37">
      <calculatedColumnFormula>DAY(EOMONTH(DATE(B3,MATCH(A3,{"January","February","March","April","May","June","July","August","September","October","November","December"},0),1),0))</calculatedColumnFormula>
    </tableColumn>
    <tableColumn id="6" xr3:uid="{47E3BC64-E6FB-49C1-88CF-4FD8AA9D993A}" name="Sundays" dataDxfId="36">
      <calculatedColumnFormula array="1">SUMPRODUCT(--(WEEKDAY(DATE(B3,MATCH(A3,{"January","February","March","April","May","June","July","August","September","October","November","December"},0),ROW(INDIRECT("1:"&amp;E3))),1)=1))</calculatedColumnFormula>
    </tableColumn>
    <tableColumn id="7" xr3:uid="{F3B5D5A1-80E9-488C-8EB9-E2FC4B0D9EA0}" name="Public_x000a_Holidays" dataDxfId="35"/>
    <tableColumn id="8" xr3:uid="{DE635E7E-4E02-4A4D-8AAA-185180A18C80}" name="Working _x000a_Days" dataDxfId="34">
      <calculatedColumnFormula>E3-F3-G3</calculatedColumnFormula>
    </tableColumn>
    <tableColumn id="9" xr3:uid="{48604DC1-CF40-4158-B64E-579550B195B6}" name="Working Hrs_x000a_/Employee" dataDxfId="33">
      <calculatedColumnFormula>H3*D3</calculatedColumnFormula>
    </tableColumn>
    <tableColumn id="10" xr3:uid="{9CF51DF1-5908-486B-9F73-DA60C539138A}" name="Total_x000a_Working Hrs" dataDxfId="32">
      <calculatedColumnFormula>C3*I3</calculatedColumnFormula>
    </tableColumn>
    <tableColumn id="11" xr3:uid="{46A5F1A2-8001-4B70-A3C1-38BFAD9C8436}" name="Absent Hrs" dataDxfId="31">
      <calculatedColumnFormula>J3*15%</calculatedColumnFormula>
    </tableColumn>
    <tableColumn id="12" xr3:uid="{43E117CF-53BD-44B5-BB6B-CC858D3E9527}" name="Gate Pass _x000a_Hrs" dataDxfId="30">
      <calculatedColumnFormula>J3*5%</calculatedColumnFormula>
    </tableColumn>
    <tableColumn id="13" xr3:uid="{EEA62CD5-8B0F-4B4C-BF2D-2E80C525272D}" name="Breakdown Hrs" dataDxfId="29">
      <calculatedColumnFormula>J3*2%</calculatedColumnFormula>
    </tableColumn>
    <tableColumn id="14" xr3:uid="{9644DE70-495D-4E50-860E-3B27B0241740}" name="Maintainence_x000a_Hrs" dataDxfId="28"/>
    <tableColumn id="15" xr3:uid="{A8725B79-DCB4-4EDE-8219-BC3F646A04C0}" name="Overtime _x000a_Hrs" dataDxfId="27">
      <calculatedColumnFormula>J3*30%</calculatedColumnFormula>
    </tableColumn>
    <tableColumn id="16" xr3:uid="{F5BB9A37-81F3-403F-BCB5-C36EC30428B6}" name="Rework _x000a_Hrs" dataDxfId="26"/>
    <tableColumn id="17" xr3:uid="{722FE41A-1B53-452E-BBAF-21548B897F8B}" name="Net_x000a_Available_x000a_Hrs" dataDxfId="25">
      <calculatedColumnFormula>J3-K3-L3-M3-N3+O3-P3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A2229-D822-4127-B5ED-7B45DDF2442A}" name="Table1" displayName="Table1" ref="A2:J129" totalsRowShown="0" headerRowDxfId="24" headerRowBorderDxfId="23" tableBorderDxfId="22" totalsRowBorderDxfId="21">
  <autoFilter ref="A2:J129" xr:uid="{6F1A2229-D822-4127-B5ED-7B45DDF2442A}"/>
  <tableColumns count="10">
    <tableColumn id="1" xr3:uid="{46A0E486-7C24-403D-AD79-150210E47E9D}" name="Month" dataDxfId="20"/>
    <tableColumn id="2" xr3:uid="{F51CA1E8-DE57-47CF-9986-4C75528627E8}" name="Year" dataDxfId="19"/>
    <tableColumn id="3" xr3:uid="{67075BF8-48C7-4215-8101-BB24148C3FF6}" name="FB NO" dataDxfId="18" dataCellStyle="Normal 6"/>
    <tableColumn id="4" xr3:uid="{BEA792CE-5A40-4ED8-8C2B-EAAC44C2EF1D}" name="Customer Name" dataDxfId="17"/>
    <tableColumn id="5" xr3:uid="{73FDAAB6-C9DC-4B5E-AF4A-7C710A8AA9DB}" name="Description" dataDxfId="16"/>
    <tableColumn id="6" xr3:uid="{8C5EBF64-A3CB-42A4-AF2C-F4BC2F0E0806}" name="Panel Name" dataDxfId="15" dataCellStyle="Normal 6"/>
    <tableColumn id="7" xr3:uid="{51AC810D-56F1-4DE9-B360-4FB43964FA63}" name="Completion%" dataDxfId="14"/>
    <tableColumn id="8" xr3:uid="{1D610718-EE42-4199-8B85-B44944DECCC1}" name="Quantity" dataDxfId="13"/>
    <tableColumn id="9" xr3:uid="{6017921C-9099-4048-8503-E92D39CD5648}" name="Standard Man_x000a_Hours/Products" dataDxfId="12"/>
    <tableColumn id="10" xr3:uid="{3872A059-2935-47D2-AE38-5B36BEDA8074}" name="Total Man Hours" dataDxfId="11">
      <calculatedColumnFormula>H3*I3</calculatedColumnFormula>
    </tableColumn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CF282-26FA-46EE-8576-EBAFDE123729}" name="Table4" displayName="Table4" ref="A2:F9" totalsRowShown="0" headerRowDxfId="10" dataDxfId="8" headerRowBorderDxfId="9" tableBorderDxfId="7" totalsRowBorderDxfId="6">
  <autoFilter ref="A2:F9" xr:uid="{353CF282-26FA-46EE-8576-EBAFDE123729}"/>
  <tableColumns count="6">
    <tableColumn id="1" xr3:uid="{38E4C2DC-C0ED-4673-9F32-A709E69C1CE1}" name="Month" dataDxfId="5"/>
    <tableColumn id="2" xr3:uid="{06FD02DF-56DB-46AA-920F-E6260C931B92}" name="Year" dataDxfId="4"/>
    <tableColumn id="3" xr3:uid="{A2D1E176-C6A3-4304-922E-111D27507C88}" name="Net Available Hours" dataDxfId="3">
      <calculatedColumnFormula>SUMIFS('Monthly Data'!$Q:$Q,'Monthly Data'!$A:$A,A3,'Monthly Data'!$B:$B,B3)</calculatedColumnFormula>
    </tableColumn>
    <tableColumn id="4" xr3:uid="{CEA64634-7AA0-4A0B-AFBA-FC88FB54EB61}" name="Production Hours" dataDxfId="2">
      <calculatedColumnFormula>SUMIFS('Monthly Production'!$J:$J,'Monthly Production'!$A:$A,A3,'Monthly Production'!$B:$B,B3)+SUMIFS('Reworking Data'!$I:$I,'Reworking Data'!$A:$A,A3,'Reworking Data'!$B:$B,B3)</calculatedColumnFormula>
    </tableColumn>
    <tableColumn id="5" xr3:uid="{FDB572EB-1DC4-4C76-ACD1-C27E48BE7775}" name="Difference" dataDxfId="1">
      <calculatedColumnFormula>C3-D3</calculatedColumnFormula>
    </tableColumn>
    <tableColumn id="6" xr3:uid="{5EF3D1B7-359D-470C-8985-A413E18AEC6F}" name="Efficiency (%)" dataDxfId="0">
      <calculatedColumnFormula>IFERROR(D3/C3,0)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7EBD-C36F-487C-92E7-4F264CA7E5FC}">
  <dimension ref="F12:L21"/>
  <sheetViews>
    <sheetView showGridLines="0" topLeftCell="A12" workbookViewId="0">
      <selection activeCell="L7" sqref="L7"/>
    </sheetView>
  </sheetViews>
  <sheetFormatPr defaultRowHeight="14.5" x14ac:dyDescent="0.35"/>
  <cols>
    <col min="6" max="6" width="24" customWidth="1"/>
    <col min="12" max="12" width="29.26953125" customWidth="1"/>
  </cols>
  <sheetData>
    <row r="12" spans="6:12" ht="23.5" x14ac:dyDescent="0.55000000000000004">
      <c r="F12" s="103" t="s">
        <v>236</v>
      </c>
      <c r="L12" s="104" t="s">
        <v>238</v>
      </c>
    </row>
    <row r="15" spans="6:12" ht="23.5" x14ac:dyDescent="0.55000000000000004">
      <c r="F15" s="103" t="s">
        <v>235</v>
      </c>
      <c r="L15" s="105">
        <v>273</v>
      </c>
    </row>
    <row r="18" spans="6:12" ht="23.5" x14ac:dyDescent="0.55000000000000004">
      <c r="F18" s="103" t="s">
        <v>234</v>
      </c>
      <c r="L18" s="105" t="s">
        <v>239</v>
      </c>
    </row>
    <row r="21" spans="6:12" ht="23.5" x14ac:dyDescent="0.55000000000000004">
      <c r="F21" s="103" t="s">
        <v>237</v>
      </c>
      <c r="L21" s="104" t="s">
        <v>240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00D7-F631-4624-BAD2-558868BCA71F}">
  <dimension ref="A1:AK72"/>
  <sheetViews>
    <sheetView showGridLines="0" tabSelected="1" topLeftCell="A30" zoomScale="84" zoomScaleNormal="100" workbookViewId="0">
      <selection activeCell="A2" sqref="A2"/>
    </sheetView>
  </sheetViews>
  <sheetFormatPr defaultRowHeight="14.5" x14ac:dyDescent="0.35"/>
  <cols>
    <col min="28" max="29" width="21.54296875" customWidth="1"/>
    <col min="30" max="30" width="13.26953125" customWidth="1"/>
    <col min="31" max="31" width="19.6328125" customWidth="1"/>
    <col min="32" max="32" width="17.6328125" customWidth="1"/>
    <col min="33" max="33" width="14.36328125" customWidth="1"/>
    <col min="35" max="35" width="17.08984375" customWidth="1"/>
  </cols>
  <sheetData>
    <row r="1" spans="1:37" ht="57" customHeight="1" x14ac:dyDescent="0.35">
      <c r="A1" s="107" t="s">
        <v>242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6"/>
      <c r="X1" s="97"/>
      <c r="Y1" s="97"/>
      <c r="Z1" s="97"/>
      <c r="AA1" s="97"/>
      <c r="AB1" s="97"/>
      <c r="AC1" s="97"/>
      <c r="AD1" s="97"/>
      <c r="AE1" s="100" t="s">
        <v>225</v>
      </c>
      <c r="AF1" s="101">
        <f ca="1">SUMIFS('Monthly Data'!$K:$K,'Monthly Data'!$A:$A,$D$4,'Monthly Data'!$B:$B,$I$4)</f>
        <v>1328.3999999999999</v>
      </c>
      <c r="AG1" s="100"/>
      <c r="AH1" s="97" t="s">
        <v>1</v>
      </c>
      <c r="AI1" s="97" t="s">
        <v>229</v>
      </c>
      <c r="AJ1" s="97"/>
      <c r="AK1" s="106"/>
    </row>
    <row r="2" spans="1:37" x14ac:dyDescent="0.35">
      <c r="W2" s="106"/>
      <c r="X2" s="97"/>
      <c r="Y2" s="97"/>
      <c r="Z2" s="97"/>
      <c r="AA2" s="97"/>
      <c r="AB2" s="97"/>
      <c r="AC2" s="97"/>
      <c r="AD2" s="97"/>
      <c r="AE2" s="97" t="s">
        <v>227</v>
      </c>
      <c r="AF2" s="101">
        <f ca="1">SUMIFS('Monthly Data'!$L:$L,'Monthly Data'!$A:$A,$D$4,'Monthly Data'!$B:$B,$I$4)</f>
        <v>442.8</v>
      </c>
      <c r="AG2" s="97"/>
      <c r="AH2" s="97" t="s">
        <v>94</v>
      </c>
      <c r="AI2" s="97">
        <f>SUMIFS('Reworking Data'!$I:$I,'Reworking Data'!$A:$A,AH2,'Reworking Data'!$B:$B,2026)</f>
        <v>201</v>
      </c>
      <c r="AJ2" s="97"/>
      <c r="AK2" s="106"/>
    </row>
    <row r="3" spans="1:37" x14ac:dyDescent="0.35">
      <c r="F3" s="95"/>
      <c r="W3" s="106"/>
      <c r="X3" s="97"/>
      <c r="Y3" s="97"/>
      <c r="Z3" s="97"/>
      <c r="AA3" s="97"/>
      <c r="AB3" s="97"/>
      <c r="AC3" s="97"/>
      <c r="AD3" s="97"/>
      <c r="AE3" s="97" t="s">
        <v>226</v>
      </c>
      <c r="AF3" s="101">
        <f ca="1">SUMIFS('Monthly Data'!$M:$M,'Monthly Data'!$A:$A,$D$4,'Monthly Data'!$B:$B,$I$4)</f>
        <v>177.12</v>
      </c>
      <c r="AG3" s="97"/>
      <c r="AH3" s="97" t="s">
        <v>115</v>
      </c>
      <c r="AI3" s="97">
        <f>SUMIFS('Reworking Data'!$I:$I,'Reworking Data'!$A:$A,AH3,'Reworking Data'!$B:$B,2026)</f>
        <v>1313</v>
      </c>
      <c r="AJ3" s="97"/>
      <c r="AK3" s="106"/>
    </row>
    <row r="4" spans="1:37" ht="18.5" x14ac:dyDescent="0.45">
      <c r="B4" s="109" t="s">
        <v>1</v>
      </c>
      <c r="C4" s="109"/>
      <c r="D4" s="110" t="s">
        <v>94</v>
      </c>
      <c r="E4" s="110"/>
      <c r="G4" s="111" t="s">
        <v>22</v>
      </c>
      <c r="H4" s="112"/>
      <c r="I4" s="113">
        <v>2026</v>
      </c>
      <c r="J4" s="113"/>
      <c r="L4" s="114" t="s">
        <v>224</v>
      </c>
      <c r="M4" s="114"/>
      <c r="N4" s="114"/>
      <c r="O4" s="114"/>
      <c r="P4" s="114"/>
      <c r="Q4" s="114"/>
      <c r="W4" s="106"/>
      <c r="X4" s="97"/>
      <c r="Y4" s="97"/>
      <c r="Z4" s="97"/>
      <c r="AA4" s="97"/>
      <c r="AB4" s="97"/>
      <c r="AC4" s="97"/>
      <c r="AD4" s="97"/>
      <c r="AE4" s="97" t="s">
        <v>228</v>
      </c>
      <c r="AF4" s="101">
        <f>SUMIFS('Monthly Data'!$N:$N,'Monthly Data'!$A:$A,$D$4,'Monthly Data'!$B:$B,$I$4)</f>
        <v>10</v>
      </c>
      <c r="AG4" s="97"/>
      <c r="AH4" s="97" t="s">
        <v>148</v>
      </c>
      <c r="AI4" s="97">
        <f>SUMIFS('Reworking Data'!$I:$I,'Reworking Data'!$A:$A,AH4,'Reworking Data'!$B:$B,2026)</f>
        <v>1073</v>
      </c>
      <c r="AJ4" s="97"/>
      <c r="AK4" s="106"/>
    </row>
    <row r="5" spans="1:37" x14ac:dyDescent="0.35">
      <c r="K5" s="96"/>
      <c r="W5" s="106"/>
      <c r="X5" s="97"/>
      <c r="Y5" s="97"/>
      <c r="Z5" s="97"/>
      <c r="AA5" s="97"/>
      <c r="AB5" s="97"/>
      <c r="AC5" s="97"/>
      <c r="AD5" s="97"/>
      <c r="AE5" s="97" t="s">
        <v>229</v>
      </c>
      <c r="AF5" s="101">
        <f>SUMIFS('Monthly Data'!$P:$P,'Monthly Data'!$A:$A,$D$4,'Monthly Data'!$B:$B,$I$4)</f>
        <v>75</v>
      </c>
      <c r="AG5" s="97"/>
      <c r="AH5" s="97" t="s">
        <v>151</v>
      </c>
      <c r="AI5" s="97">
        <f>SUMIFS('Reworking Data'!$I:$I,'Reworking Data'!$A:$A,AH5,'Reworking Data'!$B:$B,2026)</f>
        <v>489.5</v>
      </c>
      <c r="AJ5" s="97"/>
      <c r="AK5" s="106"/>
    </row>
    <row r="6" spans="1:37" x14ac:dyDescent="0.35">
      <c r="W6" s="106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 t="s">
        <v>178</v>
      </c>
      <c r="AI6" s="97">
        <f>SUMIFS('Reworking Data'!$I:$I,'Reworking Data'!$A:$A,AH6,'Reworking Data'!$B:$B,2026)</f>
        <v>192.5</v>
      </c>
      <c r="AJ6" s="97"/>
      <c r="AK6" s="106"/>
    </row>
    <row r="7" spans="1:37" x14ac:dyDescent="0.35">
      <c r="W7" s="106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 t="s">
        <v>60</v>
      </c>
      <c r="AI7" s="97">
        <f>SUMIFS('Reworking Data'!$I:$I,'Reworking Data'!$A:$A,AH7,'Reworking Data'!$B:$B,2026)</f>
        <v>0</v>
      </c>
      <c r="AJ7" s="97"/>
      <c r="AK7" s="106"/>
    </row>
    <row r="8" spans="1:37" x14ac:dyDescent="0.35">
      <c r="W8" s="106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 t="s">
        <v>21</v>
      </c>
      <c r="AI8" s="97">
        <f>SUMIFS('Reworking Data'!$I:$I,'Reworking Data'!$A:$A,AH8,'Reworking Data'!$B:$B,2026)</f>
        <v>385</v>
      </c>
      <c r="AJ8" s="97"/>
      <c r="AK8" s="106"/>
    </row>
    <row r="9" spans="1:37" x14ac:dyDescent="0.35">
      <c r="W9" s="106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106"/>
    </row>
    <row r="10" spans="1:37" x14ac:dyDescent="0.35">
      <c r="W10" s="106"/>
      <c r="X10" s="97"/>
      <c r="Y10" s="97"/>
      <c r="Z10" s="97"/>
      <c r="AA10" s="97"/>
      <c r="AB10" s="97" t="s">
        <v>214</v>
      </c>
      <c r="AC10" s="97" t="s">
        <v>230</v>
      </c>
      <c r="AD10" s="97" t="s">
        <v>241</v>
      </c>
      <c r="AE10" s="97"/>
      <c r="AF10" s="97"/>
      <c r="AG10" s="97"/>
      <c r="AH10" s="97"/>
      <c r="AI10" s="97"/>
      <c r="AJ10" s="97"/>
      <c r="AK10" s="106"/>
    </row>
    <row r="11" spans="1:37" ht="16" x14ac:dyDescent="0.35">
      <c r="W11" s="106"/>
      <c r="X11" s="97"/>
      <c r="Y11" s="97"/>
      <c r="Z11" s="97"/>
      <c r="AA11" s="97"/>
      <c r="AB11" s="98" t="s">
        <v>113</v>
      </c>
      <c r="AC11" s="97">
        <f>SUMIFS('Monthly Production'!$J:$J,'Monthly Production'!$F:$F,AB11,'Monthly Production'!$A:$A,$D$4,'Monthly Production'!$B:$B,$I$4)</f>
        <v>1650</v>
      </c>
      <c r="AD11" s="101">
        <f>SUMIFS('Monthly Production'!$H:$H,'Monthly Production'!$F:$F,AB11,'Monthly Production'!$A:$A,$D$4,'Monthly Production'!$B:$B,$I$4)</f>
        <v>10</v>
      </c>
      <c r="AE11" s="97"/>
      <c r="AF11" s="97"/>
      <c r="AG11" s="97"/>
      <c r="AH11" s="97"/>
      <c r="AI11" s="97"/>
      <c r="AJ11" s="97"/>
      <c r="AK11" s="106"/>
    </row>
    <row r="12" spans="1:37" ht="16" x14ac:dyDescent="0.35">
      <c r="W12" s="106"/>
      <c r="X12" s="97"/>
      <c r="Y12" s="97"/>
      <c r="Z12" s="97"/>
      <c r="AA12" s="97"/>
      <c r="AB12" s="99" t="s">
        <v>53</v>
      </c>
      <c r="AC12" s="97">
        <f>SUMIFS('Monthly Production'!$J:$J,'Monthly Production'!$F:$F,AB12,'Monthly Production'!$A:$A,$D$4,'Monthly Production'!$B:$B,$I$4)</f>
        <v>0</v>
      </c>
      <c r="AD12" s="101">
        <f>SUMIFS('Monthly Production'!$H:$H,'Monthly Production'!$F:$F,AB12,'Monthly Production'!$A:$A,$D$4,'Monthly Production'!$B:$B,$I$4)</f>
        <v>0</v>
      </c>
      <c r="AE12" s="97"/>
      <c r="AF12" s="97"/>
      <c r="AG12" s="97"/>
      <c r="AH12" s="97"/>
      <c r="AI12" s="97"/>
      <c r="AJ12" s="97"/>
      <c r="AK12" s="106"/>
    </row>
    <row r="13" spans="1:37" ht="16" x14ac:dyDescent="0.35">
      <c r="W13" s="106"/>
      <c r="X13" s="97"/>
      <c r="Y13" s="97"/>
      <c r="Z13" s="97"/>
      <c r="AA13" s="97"/>
      <c r="AB13" s="98" t="s">
        <v>92</v>
      </c>
      <c r="AC13" s="97">
        <f>SUMIFS('Monthly Production'!$J:$J,'Monthly Production'!$F:$F,AB13,'Monthly Production'!$A:$A,$D$4,'Monthly Production'!$B:$B,$I$4)</f>
        <v>0</v>
      </c>
      <c r="AD13" s="101">
        <f>SUMIFS('Monthly Production'!$H:$H,'Monthly Production'!$F:$F,AB13,'Monthly Production'!$A:$A,$D$4,'Monthly Production'!$B:$B,$I$4)</f>
        <v>0</v>
      </c>
      <c r="AE13" s="97"/>
      <c r="AF13" s="97"/>
      <c r="AG13" s="97"/>
      <c r="AH13" s="97"/>
      <c r="AI13" s="97"/>
      <c r="AJ13" s="97"/>
      <c r="AK13" s="106"/>
    </row>
    <row r="14" spans="1:37" ht="16" x14ac:dyDescent="0.35">
      <c r="W14" s="106"/>
      <c r="X14" s="97"/>
      <c r="Y14" s="97"/>
      <c r="Z14" s="97"/>
      <c r="AA14" s="97"/>
      <c r="AB14" s="99" t="s">
        <v>57</v>
      </c>
      <c r="AC14" s="97">
        <f>SUMIFS('Monthly Production'!$J:$J,'Monthly Production'!$F:$F,AB14,'Monthly Production'!$A:$A,$D$4,'Monthly Production'!$B:$B,$I$4)</f>
        <v>145</v>
      </c>
      <c r="AD14" s="101">
        <f>SUMIFS('Monthly Production'!$H:$H,'Monthly Production'!$F:$F,AB14,'Monthly Production'!$A:$A,$D$4,'Monthly Production'!$B:$B,$I$4)</f>
        <v>1</v>
      </c>
      <c r="AE14" s="97"/>
      <c r="AF14" s="97"/>
      <c r="AG14" s="97"/>
      <c r="AH14" s="97"/>
      <c r="AI14" s="97"/>
      <c r="AJ14" s="97"/>
      <c r="AK14" s="106"/>
    </row>
    <row r="15" spans="1:37" ht="16" x14ac:dyDescent="0.35">
      <c r="W15" s="106"/>
      <c r="X15" s="97"/>
      <c r="Y15" s="97"/>
      <c r="Z15" s="97"/>
      <c r="AA15" s="97"/>
      <c r="AB15" s="98" t="s">
        <v>58</v>
      </c>
      <c r="AC15" s="97">
        <f>SUMIFS('Monthly Production'!$J:$J,'Monthly Production'!$F:$F,AB15,'Monthly Production'!$A:$A,$D$4,'Monthly Production'!$B:$B,$I$4)</f>
        <v>508</v>
      </c>
      <c r="AD15" s="101">
        <f>SUMIFS('Monthly Production'!$H:$H,'Monthly Production'!$F:$F,AB15,'Monthly Production'!$A:$A,$D$4,'Monthly Production'!$B:$B,$I$4)</f>
        <v>4</v>
      </c>
      <c r="AE15" s="97"/>
      <c r="AF15" s="97"/>
      <c r="AG15" s="97"/>
      <c r="AH15" s="97"/>
      <c r="AI15" s="97"/>
      <c r="AJ15" s="97"/>
      <c r="AK15" s="106"/>
    </row>
    <row r="16" spans="1:37" ht="16" x14ac:dyDescent="0.35">
      <c r="W16" s="106"/>
      <c r="X16" s="97"/>
      <c r="Y16" s="97"/>
      <c r="Z16" s="97"/>
      <c r="AA16" s="97"/>
      <c r="AB16" s="99" t="s">
        <v>54</v>
      </c>
      <c r="AC16" s="97">
        <f>SUMIFS('Monthly Production'!$J:$J,'Monthly Production'!$F:$F,AB16,'Monthly Production'!$A:$A,$D$4,'Monthly Production'!$B:$B,$I$4)</f>
        <v>605</v>
      </c>
      <c r="AD16" s="101">
        <f>SUMIFS('Monthly Production'!$H:$H,'Monthly Production'!$F:$F,AB16,'Monthly Production'!$A:$A,$D$4,'Monthly Production'!$B:$B,$I$4)</f>
        <v>5</v>
      </c>
      <c r="AE16" s="97"/>
      <c r="AF16" s="97"/>
      <c r="AG16" s="97"/>
      <c r="AH16" s="97"/>
      <c r="AI16" s="97"/>
      <c r="AJ16" s="97"/>
      <c r="AK16" s="106"/>
    </row>
    <row r="17" spans="23:37" ht="16" x14ac:dyDescent="0.35">
      <c r="W17" s="106"/>
      <c r="X17" s="97"/>
      <c r="Y17" s="97"/>
      <c r="Z17" s="97"/>
      <c r="AA17" s="97"/>
      <c r="AB17" s="98" t="s">
        <v>93</v>
      </c>
      <c r="AC17" s="97">
        <f>SUMIFS('Monthly Production'!$J:$J,'Monthly Production'!$F:$F,AB17,'Monthly Production'!$A:$A,$D$4,'Monthly Production'!$B:$B,$I$4)</f>
        <v>0</v>
      </c>
      <c r="AD17" s="101">
        <f>SUMIFS('Monthly Production'!$H:$H,'Monthly Production'!$F:$F,AB17,'Monthly Production'!$A:$A,$D$4,'Monthly Production'!$B:$B,$I$4)</f>
        <v>0</v>
      </c>
      <c r="AE17" s="97"/>
      <c r="AF17" s="97"/>
      <c r="AG17" s="97"/>
      <c r="AH17" s="97"/>
      <c r="AI17" s="97"/>
      <c r="AJ17" s="97"/>
      <c r="AK17" s="106"/>
    </row>
    <row r="18" spans="23:37" ht="16" x14ac:dyDescent="0.35">
      <c r="W18" s="106"/>
      <c r="X18" s="97"/>
      <c r="Y18" s="97"/>
      <c r="Z18" s="97"/>
      <c r="AA18" s="97"/>
      <c r="AB18" s="99" t="s">
        <v>217</v>
      </c>
      <c r="AC18" s="97">
        <f>SUMIFS('Monthly Production'!$J:$J,'Monthly Production'!$F:$F,AB18,'Monthly Production'!$A:$A,$D$4,'Monthly Production'!$B:$B,$I$4)</f>
        <v>0</v>
      </c>
      <c r="AD18" s="101">
        <f>SUMIFS('Monthly Production'!$H:$H,'Monthly Production'!$F:$F,AB18,'Monthly Production'!$A:$A,$D$4,'Monthly Production'!$B:$B,$I$4)</f>
        <v>0</v>
      </c>
      <c r="AE18" s="97"/>
      <c r="AF18" s="97"/>
      <c r="AG18" s="97"/>
      <c r="AH18" s="97"/>
      <c r="AI18" s="97"/>
      <c r="AJ18" s="97"/>
      <c r="AK18" s="106"/>
    </row>
    <row r="19" spans="23:37" ht="16" x14ac:dyDescent="0.35">
      <c r="W19" s="106"/>
      <c r="X19" s="97"/>
      <c r="Y19" s="97"/>
      <c r="Z19" s="97"/>
      <c r="AA19" s="97"/>
      <c r="AB19" s="98" t="s">
        <v>218</v>
      </c>
      <c r="AC19" s="97">
        <f>SUMIFS('Monthly Production'!$J:$J,'Monthly Production'!$F:$F,AB19,'Monthly Production'!$A:$A,$D$4,'Monthly Production'!$B:$B,$I$4)</f>
        <v>0</v>
      </c>
      <c r="AD19" s="101">
        <f>SUMIFS('Monthly Production'!$H:$H,'Monthly Production'!$F:$F,AB19,'Monthly Production'!$A:$A,$D$4,'Monthly Production'!$B:$B,$I$4)</f>
        <v>0</v>
      </c>
      <c r="AE19" s="97"/>
      <c r="AF19" s="97"/>
      <c r="AG19" s="97"/>
      <c r="AH19" s="97"/>
      <c r="AI19" s="97"/>
      <c r="AJ19" s="97"/>
      <c r="AK19" s="106"/>
    </row>
    <row r="20" spans="23:37" ht="16" x14ac:dyDescent="0.35">
      <c r="W20" s="106"/>
      <c r="X20" s="97"/>
      <c r="Y20" s="97"/>
      <c r="Z20" s="97"/>
      <c r="AA20" s="97"/>
      <c r="AB20" s="99" t="s">
        <v>55</v>
      </c>
      <c r="AC20" s="97">
        <f>SUMIFS('Monthly Production'!$J:$J,'Monthly Production'!$F:$F,AB20,'Monthly Production'!$A:$A,$D$4,'Monthly Production'!$B:$B,$I$4)</f>
        <v>980</v>
      </c>
      <c r="AD20" s="101">
        <f>SUMIFS('Monthly Production'!$H:$H,'Monthly Production'!$F:$F,AB20,'Monthly Production'!$A:$A,$D$4,'Monthly Production'!$B:$B,$I$4)</f>
        <v>8</v>
      </c>
      <c r="AE20" s="97"/>
      <c r="AF20" s="97"/>
      <c r="AG20" s="97"/>
      <c r="AH20" s="97"/>
      <c r="AI20" s="97"/>
      <c r="AJ20" s="97"/>
      <c r="AK20" s="106"/>
    </row>
    <row r="21" spans="23:37" ht="16" x14ac:dyDescent="0.35">
      <c r="W21" s="106"/>
      <c r="X21" s="97"/>
      <c r="Y21" s="97"/>
      <c r="Z21" s="97"/>
      <c r="AA21" s="97"/>
      <c r="AB21" s="98" t="s">
        <v>56</v>
      </c>
      <c r="AC21" s="97">
        <f>SUMIFS('Monthly Production'!$J:$J,'Monthly Production'!$F:$F,AB21,'Monthly Production'!$A:$A,$D$4,'Monthly Production'!$B:$B,$I$4)</f>
        <v>735</v>
      </c>
      <c r="AD21" s="101">
        <f>SUMIFS('Monthly Production'!$H:$H,'Monthly Production'!$F:$F,AB21,'Monthly Production'!$A:$A,$D$4,'Monthly Production'!$B:$B,$I$4)</f>
        <v>6</v>
      </c>
      <c r="AE21" s="97"/>
      <c r="AF21" s="97"/>
      <c r="AG21" s="97"/>
      <c r="AH21" s="97"/>
      <c r="AI21" s="97"/>
      <c r="AJ21" s="97"/>
      <c r="AK21" s="106"/>
    </row>
    <row r="22" spans="23:37" ht="16" x14ac:dyDescent="0.35">
      <c r="W22" s="106"/>
      <c r="X22" s="97"/>
      <c r="Y22" s="97"/>
      <c r="Z22" s="97"/>
      <c r="AA22" s="97"/>
      <c r="AB22" s="99" t="s">
        <v>114</v>
      </c>
      <c r="AC22" s="97">
        <f>SUMIFS('Monthly Production'!$J:$J,'Monthly Production'!$F:$F,AB22,'Monthly Production'!$A:$A,$D$4,'Monthly Production'!$B:$B,$I$4)</f>
        <v>195</v>
      </c>
      <c r="AD22" s="101">
        <f>SUMIFS('Monthly Production'!$H:$H,'Monthly Production'!$F:$F,AB22,'Monthly Production'!$A:$A,$D$4,'Monthly Production'!$B:$B,$I$4)</f>
        <v>3</v>
      </c>
      <c r="AE22" s="97"/>
      <c r="AF22" s="97"/>
      <c r="AG22" s="97"/>
      <c r="AH22" s="97"/>
      <c r="AI22" s="97"/>
      <c r="AJ22" s="97"/>
      <c r="AK22" s="106"/>
    </row>
    <row r="23" spans="23:37" x14ac:dyDescent="0.35">
      <c r="W23" s="106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106"/>
    </row>
    <row r="24" spans="23:37" x14ac:dyDescent="0.35">
      <c r="W24" s="106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106"/>
    </row>
    <row r="25" spans="23:37" x14ac:dyDescent="0.35">
      <c r="W25" s="106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106"/>
    </row>
    <row r="26" spans="23:37" x14ac:dyDescent="0.35"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</row>
    <row r="27" spans="23:37" x14ac:dyDescent="0.35">
      <c r="Z27" s="97"/>
      <c r="AA27" s="97"/>
      <c r="AB27" s="97"/>
      <c r="AC27" s="97"/>
      <c r="AD27" s="97"/>
      <c r="AE27" s="97"/>
      <c r="AF27" s="97"/>
      <c r="AG27" s="97"/>
      <c r="AH27" s="97"/>
      <c r="AI27" s="97"/>
    </row>
    <row r="28" spans="23:37" x14ac:dyDescent="0.35">
      <c r="Z28" s="97"/>
      <c r="AA28" s="97"/>
      <c r="AB28" s="97"/>
      <c r="AC28" s="97"/>
      <c r="AD28" s="97"/>
      <c r="AE28" s="97"/>
      <c r="AF28" s="97"/>
      <c r="AG28" s="97"/>
      <c r="AH28" s="97"/>
      <c r="AI28" s="97"/>
    </row>
    <row r="29" spans="23:37" x14ac:dyDescent="0.35">
      <c r="Z29" s="97"/>
      <c r="AA29" s="97"/>
      <c r="AB29" s="97"/>
      <c r="AC29" s="97"/>
      <c r="AD29" s="97"/>
      <c r="AE29" s="97"/>
      <c r="AF29" s="97"/>
      <c r="AG29" s="97"/>
      <c r="AH29" s="97"/>
      <c r="AI29" s="97"/>
    </row>
    <row r="30" spans="23:37" x14ac:dyDescent="0.35">
      <c r="Z30" s="97"/>
      <c r="AA30" s="97"/>
      <c r="AB30" s="97"/>
      <c r="AC30" s="97"/>
      <c r="AD30" s="97"/>
      <c r="AE30" s="97"/>
      <c r="AF30" s="97"/>
      <c r="AG30" s="97"/>
      <c r="AH30" s="97"/>
      <c r="AI30" s="97"/>
    </row>
    <row r="31" spans="23:37" x14ac:dyDescent="0.35">
      <c r="Z31" s="97"/>
      <c r="AA31" s="97"/>
      <c r="AB31" s="97"/>
      <c r="AC31" s="97"/>
      <c r="AD31" s="97"/>
      <c r="AE31" s="97"/>
      <c r="AF31" s="97"/>
      <c r="AG31" s="97"/>
      <c r="AH31" s="97"/>
      <c r="AI31" s="97"/>
    </row>
    <row r="32" spans="23:37" x14ac:dyDescent="0.35">
      <c r="Z32" s="97"/>
      <c r="AA32" s="97"/>
      <c r="AB32" s="97"/>
      <c r="AC32" s="97"/>
      <c r="AD32" s="97"/>
      <c r="AE32" s="97"/>
      <c r="AF32" s="97"/>
      <c r="AG32" s="97"/>
      <c r="AH32" s="97"/>
      <c r="AI32" s="97"/>
    </row>
    <row r="65" spans="1:4" x14ac:dyDescent="0.35">
      <c r="A65" s="97"/>
      <c r="B65" s="97"/>
      <c r="C65" s="97"/>
      <c r="D65" s="97"/>
    </row>
    <row r="66" spans="1:4" x14ac:dyDescent="0.35">
      <c r="A66" s="97"/>
      <c r="B66" s="97">
        <f ca="1">SUMIFS('Monthly Summary'!$C:$C,'Monthly Summary'!$A:$A,$D$4,'Monthly Summary'!$B:$B,$I$4)</f>
        <v>9479.48</v>
      </c>
      <c r="C66" s="97"/>
      <c r="D66" s="97"/>
    </row>
    <row r="67" spans="1:4" x14ac:dyDescent="0.35">
      <c r="A67" s="97"/>
      <c r="B67" s="97"/>
      <c r="C67" s="97"/>
      <c r="D67" s="97"/>
    </row>
    <row r="68" spans="1:4" x14ac:dyDescent="0.35">
      <c r="A68" s="97"/>
      <c r="B68" s="97">
        <f>SUMIFS('Monthly Summary'!$D:$D,'Monthly Summary'!$A:$A,$D$4,'Monthly Summary'!$B:$B,$I$4)</f>
        <v>5019</v>
      </c>
      <c r="C68" s="97"/>
      <c r="D68" s="97"/>
    </row>
    <row r="69" spans="1:4" x14ac:dyDescent="0.35">
      <c r="A69" s="97"/>
      <c r="B69" s="97">
        <f ca="1">SUMIFS('Monthly Summary'!$E:$E,'Monthly Summary'!$A:$A,$D$4,'Monthly Summary'!$B:$B,$I$4)</f>
        <v>4460.4799999999996</v>
      </c>
      <c r="C69" s="97"/>
      <c r="D69" s="97"/>
    </row>
    <row r="70" spans="1:4" x14ac:dyDescent="0.35">
      <c r="A70" s="97"/>
      <c r="B70" s="97"/>
      <c r="C70" s="97"/>
      <c r="D70" s="97"/>
    </row>
    <row r="71" spans="1:4" x14ac:dyDescent="0.35">
      <c r="A71" s="97"/>
      <c r="B71" s="97"/>
      <c r="C71" s="102">
        <f ca="1">SUMIFS('Monthly Summary'!$F:$F,'Monthly Summary'!$A:$A,$D$4,'Monthly Summary'!$B:$B,$I$4)</f>
        <v>0.52945942182482586</v>
      </c>
      <c r="D71" s="97"/>
    </row>
    <row r="72" spans="1:4" x14ac:dyDescent="0.35">
      <c r="A72" s="97"/>
      <c r="B72" s="97"/>
      <c r="C72" s="97"/>
      <c r="D72" s="97"/>
    </row>
  </sheetData>
  <mergeCells count="6">
    <mergeCell ref="A1:V1"/>
    <mergeCell ref="B4:C4"/>
    <mergeCell ref="D4:E4"/>
    <mergeCell ref="G4:H4"/>
    <mergeCell ref="I4:J4"/>
    <mergeCell ref="L4:Q4"/>
  </mergeCells>
  <phoneticPr fontId="5" type="noConversion"/>
  <dataValidations count="2">
    <dataValidation type="list" allowBlank="1" showInputMessage="1" showErrorMessage="1" sqref="D4:E4" xr:uid="{372745B3-3432-4B68-81E0-0FD7CAB8E78F}">
      <formula1>"January,February,March,April,May,June,July,August,September,October"</formula1>
    </dataValidation>
    <dataValidation type="list" allowBlank="1" showInputMessage="1" showErrorMessage="1" sqref="I4:J4" xr:uid="{2868F0EE-F058-49A9-B22D-8D206D7D26B6}">
      <formula1>"2026,2027"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23BF-0C69-4F42-B360-A009018D5A9A}">
  <dimension ref="A1:C14"/>
  <sheetViews>
    <sheetView workbookViewId="0">
      <selection activeCell="A9" sqref="A9"/>
    </sheetView>
  </sheetViews>
  <sheetFormatPr defaultRowHeight="25" customHeight="1" x14ac:dyDescent="0.35"/>
  <cols>
    <col min="1" max="3" width="50.6328125" customWidth="1"/>
  </cols>
  <sheetData>
    <row r="1" spans="1:3" ht="60" customHeight="1" x14ac:dyDescent="0.35">
      <c r="A1" s="115" t="s">
        <v>212</v>
      </c>
      <c r="B1" s="116"/>
      <c r="C1" s="116"/>
    </row>
    <row r="2" spans="1:3" ht="35.5" customHeight="1" x14ac:dyDescent="0.35">
      <c r="A2" s="78" t="s">
        <v>213</v>
      </c>
      <c r="B2" s="79" t="s">
        <v>214</v>
      </c>
      <c r="C2" s="80" t="s">
        <v>215</v>
      </c>
    </row>
    <row r="3" spans="1:3" ht="25" customHeight="1" x14ac:dyDescent="0.35">
      <c r="A3" s="81" t="s">
        <v>216</v>
      </c>
      <c r="B3" s="82" t="s">
        <v>113</v>
      </c>
      <c r="C3" s="83">
        <v>22</v>
      </c>
    </row>
    <row r="4" spans="1:3" ht="25" customHeight="1" x14ac:dyDescent="0.35">
      <c r="A4" s="81" t="s">
        <v>216</v>
      </c>
      <c r="B4" s="82" t="s">
        <v>53</v>
      </c>
      <c r="C4" s="83">
        <v>16</v>
      </c>
    </row>
    <row r="5" spans="1:3" ht="25" customHeight="1" x14ac:dyDescent="0.35">
      <c r="A5" s="81" t="s">
        <v>216</v>
      </c>
      <c r="B5" s="82" t="s">
        <v>92</v>
      </c>
      <c r="C5" s="83">
        <v>16</v>
      </c>
    </row>
    <row r="6" spans="1:3" ht="25" customHeight="1" x14ac:dyDescent="0.35">
      <c r="A6" s="81" t="s">
        <v>216</v>
      </c>
      <c r="B6" s="82" t="s">
        <v>57</v>
      </c>
      <c r="C6" s="83">
        <v>18</v>
      </c>
    </row>
    <row r="7" spans="1:3" ht="25" customHeight="1" x14ac:dyDescent="0.35">
      <c r="A7" s="81" t="s">
        <v>216</v>
      </c>
      <c r="B7" s="82" t="s">
        <v>58</v>
      </c>
      <c r="C7" s="83">
        <v>16</v>
      </c>
    </row>
    <row r="8" spans="1:3" ht="25" customHeight="1" x14ac:dyDescent="0.35">
      <c r="A8" s="81" t="s">
        <v>216</v>
      </c>
      <c r="B8" s="82" t="s">
        <v>54</v>
      </c>
      <c r="C8" s="83">
        <v>20</v>
      </c>
    </row>
    <row r="9" spans="1:3" ht="25" customHeight="1" x14ac:dyDescent="0.35">
      <c r="A9" s="81" t="s">
        <v>216</v>
      </c>
      <c r="B9" s="82" t="s">
        <v>93</v>
      </c>
      <c r="C9" s="83">
        <v>58</v>
      </c>
    </row>
    <row r="10" spans="1:3" ht="25" customHeight="1" x14ac:dyDescent="0.35">
      <c r="A10" s="81" t="s">
        <v>216</v>
      </c>
      <c r="B10" s="82" t="s">
        <v>217</v>
      </c>
      <c r="C10" s="83">
        <v>58</v>
      </c>
    </row>
    <row r="11" spans="1:3" ht="25" customHeight="1" x14ac:dyDescent="0.35">
      <c r="A11" s="81" t="s">
        <v>216</v>
      </c>
      <c r="B11" s="82" t="s">
        <v>218</v>
      </c>
      <c r="C11" s="83">
        <v>58</v>
      </c>
    </row>
    <row r="12" spans="1:3" ht="25" customHeight="1" x14ac:dyDescent="0.35">
      <c r="A12" s="81" t="s">
        <v>216</v>
      </c>
      <c r="B12" s="82" t="s">
        <v>233</v>
      </c>
      <c r="C12" s="83">
        <v>16</v>
      </c>
    </row>
    <row r="13" spans="1:3" ht="25" customHeight="1" x14ac:dyDescent="0.35">
      <c r="A13" s="81" t="s">
        <v>216</v>
      </c>
      <c r="B13" s="82" t="s">
        <v>232</v>
      </c>
      <c r="C13" s="83">
        <v>16</v>
      </c>
    </row>
    <row r="14" spans="1:3" ht="25" customHeight="1" x14ac:dyDescent="0.35">
      <c r="A14" s="84" t="s">
        <v>216</v>
      </c>
      <c r="B14" s="85" t="s">
        <v>231</v>
      </c>
      <c r="C14" s="86">
        <v>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4E5E-85E4-432E-9BA0-89A9CFA4228B}">
  <dimension ref="A1:R12"/>
  <sheetViews>
    <sheetView zoomScaleNormal="100" workbookViewId="0">
      <selection activeCell="K9" sqref="K9"/>
    </sheetView>
  </sheetViews>
  <sheetFormatPr defaultRowHeight="14.5" x14ac:dyDescent="0.35"/>
  <cols>
    <col min="1" max="2" width="12.36328125" customWidth="1"/>
    <col min="3" max="3" width="12.7265625" customWidth="1"/>
    <col min="4" max="8" width="12.36328125" customWidth="1"/>
    <col min="9" max="9" width="14.1796875" customWidth="1"/>
    <col min="10" max="10" width="15.81640625" customWidth="1"/>
    <col min="11" max="11" width="12.7265625" customWidth="1"/>
    <col min="12" max="12" width="13.54296875" customWidth="1"/>
    <col min="13" max="13" width="15.81640625" customWidth="1"/>
    <col min="14" max="14" width="14.36328125" customWidth="1"/>
    <col min="15" max="15" width="12.36328125" customWidth="1"/>
    <col min="16" max="16" width="13.81640625" customWidth="1"/>
    <col min="17" max="18" width="12.36328125" customWidth="1"/>
  </cols>
  <sheetData>
    <row r="1" spans="1:18" ht="66" customHeight="1" x14ac:dyDescent="0.3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8" ht="48" customHeight="1" x14ac:dyDescent="0.35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4" t="s">
        <v>7</v>
      </c>
      <c r="H2" s="4" t="s">
        <v>16</v>
      </c>
      <c r="I2" s="4" t="s">
        <v>8</v>
      </c>
      <c r="J2" s="4" t="s">
        <v>9</v>
      </c>
      <c r="K2" s="3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17</v>
      </c>
      <c r="R2" s="1"/>
    </row>
    <row r="3" spans="1:18" ht="25" customHeight="1" x14ac:dyDescent="0.35">
      <c r="A3" s="6" t="s">
        <v>94</v>
      </c>
      <c r="B3" s="7">
        <v>2026</v>
      </c>
      <c r="C3" s="7">
        <v>41</v>
      </c>
      <c r="D3" s="7">
        <v>8</v>
      </c>
      <c r="E3" s="7">
        <f>DAY(EOMONTH(DATE(B3,MATCH(A3,{"January","February","March","April","May","June","July","August","September","October","November","December"},0),1),0))</f>
        <v>31</v>
      </c>
      <c r="F3" s="7" cm="1">
        <f t="array" aca="1" ref="F3" ca="1">SUMPRODUCT(--(WEEKDAY(DATE(B3,MATCH(A3,{"January","February","March","April","May","June","July","August","September","October","November","December"},0),ROW(INDIRECT("1:"&amp;E3))),1)=1))</f>
        <v>4</v>
      </c>
      <c r="G3" s="7">
        <v>0</v>
      </c>
      <c r="H3" s="7">
        <f ca="1">E3-F3-G3</f>
        <v>27</v>
      </c>
      <c r="I3" s="7">
        <f ca="1">H3*D3</f>
        <v>216</v>
      </c>
      <c r="J3" s="7">
        <f ca="1">C3*I3</f>
        <v>8856</v>
      </c>
      <c r="K3" s="7">
        <f ca="1">J3*15%</f>
        <v>1328.3999999999999</v>
      </c>
      <c r="L3" s="7">
        <f ca="1">J3*5%</f>
        <v>442.8</v>
      </c>
      <c r="M3" s="7">
        <f ca="1">J3*2%</f>
        <v>177.12</v>
      </c>
      <c r="N3" s="7">
        <v>10</v>
      </c>
      <c r="O3" s="7">
        <f ca="1">J3*30%</f>
        <v>2656.7999999999997</v>
      </c>
      <c r="P3" s="7">
        <v>75</v>
      </c>
      <c r="Q3" s="8">
        <f ca="1">J3-K3-L3-M3-N3+O3-P3</f>
        <v>9479.48</v>
      </c>
    </row>
    <row r="4" spans="1:18" ht="25" customHeight="1" x14ac:dyDescent="0.35">
      <c r="A4" s="6" t="s">
        <v>115</v>
      </c>
      <c r="B4" s="7">
        <v>2026</v>
      </c>
      <c r="C4" s="7">
        <v>48</v>
      </c>
      <c r="D4" s="7">
        <v>8</v>
      </c>
      <c r="E4" s="7">
        <f>DAY(EOMONTH(DATE(B4,MATCH(A4,{"January","February","March","April","May","June","July","August","September","October","November","December"},0),1),0))</f>
        <v>28</v>
      </c>
      <c r="F4" s="7" cm="1">
        <f t="array" aca="1" ref="F4" ca="1">SUMPRODUCT(--(WEEKDAY(DATE(B4,MATCH(A4,{"January","February","March","April","May","June","July","August","September","October","November","December"},0),ROW(INDIRECT("1:"&amp;E4))),1)=1))</f>
        <v>4</v>
      </c>
      <c r="G4" s="7">
        <v>1</v>
      </c>
      <c r="H4" s="7">
        <f t="shared" ref="H4" ca="1" si="0">E4-F4-G4</f>
        <v>23</v>
      </c>
      <c r="I4" s="7">
        <f t="shared" ref="I4:I5" ca="1" si="1">H4*D4</f>
        <v>184</v>
      </c>
      <c r="J4" s="7">
        <f t="shared" ref="J4:J5" ca="1" si="2">C4*I4</f>
        <v>8832</v>
      </c>
      <c r="K4" s="7">
        <f t="shared" ref="K4:K5" ca="1" si="3">J4*15%</f>
        <v>1324.8</v>
      </c>
      <c r="L4" s="7">
        <f t="shared" ref="L4:L5" ca="1" si="4">J4*5%</f>
        <v>441.6</v>
      </c>
      <c r="M4" s="7">
        <f t="shared" ref="M4:M5" ca="1" si="5">J4*2%</f>
        <v>176.64000000000001</v>
      </c>
      <c r="N4" s="7">
        <v>12</v>
      </c>
      <c r="O4" s="7">
        <f t="shared" ref="O4:O5" ca="1" si="6">J4*30%</f>
        <v>2649.6</v>
      </c>
      <c r="P4" s="7">
        <v>76</v>
      </c>
      <c r="Q4" s="8">
        <f t="shared" ref="Q4:Q5" ca="1" si="7">J4-K4-L4-M4-N4+O4-P4</f>
        <v>9450.56</v>
      </c>
    </row>
    <row r="5" spans="1:18" ht="25" customHeight="1" x14ac:dyDescent="0.35">
      <c r="A5" s="6" t="s">
        <v>148</v>
      </c>
      <c r="B5" s="7">
        <v>2026</v>
      </c>
      <c r="C5" s="7">
        <v>39</v>
      </c>
      <c r="D5" s="7">
        <v>8</v>
      </c>
      <c r="E5" s="7">
        <f>DAY(EOMONTH(DATE(B5,MATCH(A5,{"January","February","March","April","May","June","July","August","September","October","November","December"},0),1),0))</f>
        <v>31</v>
      </c>
      <c r="F5" s="7" cm="1">
        <f t="array" aca="1" ref="F5" ca="1">SUMPRODUCT(--(WEEKDAY(DATE(B5,MATCH(A5,{"January","February","March","April","May","June","July","August","September","October","November","December"},0),ROW(INDIRECT("1:"&amp;E5))),1)=1))</f>
        <v>5</v>
      </c>
      <c r="G5" s="7">
        <v>3</v>
      </c>
      <c r="H5" s="7">
        <f ca="1">E5-F5-G5</f>
        <v>23</v>
      </c>
      <c r="I5" s="7">
        <f t="shared" ca="1" si="1"/>
        <v>184</v>
      </c>
      <c r="J5" s="7">
        <f t="shared" ca="1" si="2"/>
        <v>7176</v>
      </c>
      <c r="K5" s="7">
        <f t="shared" ca="1" si="3"/>
        <v>1076.3999999999999</v>
      </c>
      <c r="L5" s="7">
        <f t="shared" ca="1" si="4"/>
        <v>358.8</v>
      </c>
      <c r="M5" s="7">
        <f t="shared" ca="1" si="5"/>
        <v>143.52000000000001</v>
      </c>
      <c r="N5" s="7">
        <v>8</v>
      </c>
      <c r="O5" s="7">
        <f t="shared" ca="1" si="6"/>
        <v>2152.7999999999997</v>
      </c>
      <c r="P5" s="7">
        <v>74</v>
      </c>
      <c r="Q5" s="8">
        <f t="shared" ca="1" si="7"/>
        <v>7668.08</v>
      </c>
    </row>
    <row r="6" spans="1:18" ht="25" customHeight="1" x14ac:dyDescent="0.35">
      <c r="A6" s="6" t="s">
        <v>151</v>
      </c>
      <c r="B6" s="9">
        <v>2026</v>
      </c>
      <c r="C6" s="9">
        <v>39</v>
      </c>
      <c r="D6" s="9">
        <v>8</v>
      </c>
      <c r="E6" s="9">
        <f>DAY(EOMONTH(DATE(B6,MATCH(A6,{"January","February","March","April","May","June","July","August","September","October","November","December"},0),1),0))</f>
        <v>30</v>
      </c>
      <c r="F6" s="9" cm="1">
        <f t="array" aca="1" ref="F6" ca="1">SUMPRODUCT(--(WEEKDAY(DATE(B6,MATCH(A6,{"January","February","March","April","May","June","July","August","September","October","November","December"},0),ROW(INDIRECT("1:"&amp;E6))),1)=1))</f>
        <v>4</v>
      </c>
      <c r="G6" s="9">
        <v>0</v>
      </c>
      <c r="H6" s="9">
        <f ca="1">E6-F6-G6</f>
        <v>26</v>
      </c>
      <c r="I6" s="9">
        <f ca="1">H6*D6</f>
        <v>208</v>
      </c>
      <c r="J6" s="9">
        <f ca="1">C6*I6</f>
        <v>8112</v>
      </c>
      <c r="K6" s="9">
        <f ca="1">J6*15%</f>
        <v>1216.8</v>
      </c>
      <c r="L6" s="9">
        <f ca="1">J6*5%</f>
        <v>405.6</v>
      </c>
      <c r="M6" s="9">
        <f ca="1">J6*2%</f>
        <v>162.24</v>
      </c>
      <c r="N6" s="9">
        <v>6</v>
      </c>
      <c r="O6" s="9">
        <f ca="1">J6*30%</f>
        <v>2433.6</v>
      </c>
      <c r="P6" s="9">
        <v>70</v>
      </c>
      <c r="Q6" s="10">
        <f ca="1">J6-K6-L6-M6-N6+O6-P6</f>
        <v>8684.9599999999991</v>
      </c>
    </row>
    <row r="7" spans="1:18" ht="25" customHeight="1" x14ac:dyDescent="0.35">
      <c r="A7" s="6" t="s">
        <v>178</v>
      </c>
      <c r="B7" s="9">
        <v>2026</v>
      </c>
      <c r="C7" s="7">
        <v>39</v>
      </c>
      <c r="D7" s="9">
        <v>8</v>
      </c>
      <c r="E7" s="7">
        <f>DAY(EOMONTH(DATE(B7,MATCH(A7,{"January","February","March","April","May","June","July","August","September","October","November","December"},0),1),0))</f>
        <v>31</v>
      </c>
      <c r="F7" s="7" cm="1">
        <f t="array" aca="1" ref="F7" ca="1">SUMPRODUCT(--(WEEKDAY(DATE(B7,MATCH(A7,{"January","February","March","April","May","June","July","August","September","October","November","December"},0),ROW(INDIRECT("1:"&amp;E7))),1)=1))</f>
        <v>5</v>
      </c>
      <c r="G7" s="7">
        <v>5</v>
      </c>
      <c r="H7" s="7">
        <f t="shared" ref="H7:H11" ca="1" si="8">E7-F7-G7</f>
        <v>21</v>
      </c>
      <c r="I7" s="7">
        <f t="shared" ref="I7:I11" ca="1" si="9">H7*D7</f>
        <v>168</v>
      </c>
      <c r="J7" s="7">
        <f t="shared" ref="J7:J11" ca="1" si="10">C7*I7</f>
        <v>6552</v>
      </c>
      <c r="K7" s="7">
        <f t="shared" ref="K7:K11" ca="1" si="11">J7*15%</f>
        <v>982.8</v>
      </c>
      <c r="L7" s="7">
        <f t="shared" ref="L7:L11" ca="1" si="12">J7*5%</f>
        <v>327.60000000000002</v>
      </c>
      <c r="M7" s="7">
        <f t="shared" ref="M7:M11" ca="1" si="13">J7*2%</f>
        <v>131.04</v>
      </c>
      <c r="N7" s="7">
        <v>8</v>
      </c>
      <c r="O7" s="7">
        <f t="shared" ref="O7:O11" ca="1" si="14">J7*30%</f>
        <v>1965.6</v>
      </c>
      <c r="P7" s="7">
        <v>72</v>
      </c>
      <c r="Q7" s="8">
        <f t="shared" ref="Q7:Q11" ca="1" si="15">J7-K7-L7-M7-N7+O7-P7</f>
        <v>6996.16</v>
      </c>
    </row>
    <row r="8" spans="1:18" ht="25" customHeight="1" x14ac:dyDescent="0.35">
      <c r="A8" s="6" t="s">
        <v>60</v>
      </c>
      <c r="B8" s="9">
        <v>2026</v>
      </c>
      <c r="C8" s="7">
        <v>42</v>
      </c>
      <c r="D8" s="9">
        <v>8</v>
      </c>
      <c r="E8" s="7">
        <f>DAY(EOMONTH(DATE(B8,MATCH(A8,{"January","February","March","April","May","June","July","August","September","October","November","December"},0),1),0))</f>
        <v>30</v>
      </c>
      <c r="F8" s="7" cm="1">
        <f t="array" aca="1" ref="F8" ca="1">SUMPRODUCT(--(WEEKDAY(DATE(B8,MATCH(A8,{"January","February","March","April","May","June","July","August","September","October","November","December"},0),ROW(INDIRECT("1:"&amp;E8))),1)=1))</f>
        <v>4</v>
      </c>
      <c r="G8" s="7">
        <v>2</v>
      </c>
      <c r="H8" s="7">
        <f t="shared" ca="1" si="8"/>
        <v>24</v>
      </c>
      <c r="I8" s="7">
        <f t="shared" ca="1" si="9"/>
        <v>192</v>
      </c>
      <c r="J8" s="7">
        <f t="shared" ca="1" si="10"/>
        <v>8064</v>
      </c>
      <c r="K8" s="7">
        <f t="shared" ca="1" si="11"/>
        <v>1209.5999999999999</v>
      </c>
      <c r="L8" s="7">
        <f t="shared" ca="1" si="12"/>
        <v>403.20000000000005</v>
      </c>
      <c r="M8" s="7">
        <f t="shared" ca="1" si="13"/>
        <v>161.28</v>
      </c>
      <c r="N8" s="7">
        <v>5</v>
      </c>
      <c r="O8" s="7">
        <f t="shared" ca="1" si="14"/>
        <v>2419.1999999999998</v>
      </c>
      <c r="P8" s="7">
        <v>72</v>
      </c>
      <c r="Q8" s="8">
        <f t="shared" ca="1" si="15"/>
        <v>8632.119999999999</v>
      </c>
    </row>
    <row r="9" spans="1:18" ht="25" customHeight="1" x14ac:dyDescent="0.35">
      <c r="A9" s="6" t="s">
        <v>21</v>
      </c>
      <c r="B9" s="9">
        <v>2026</v>
      </c>
      <c r="C9" s="7">
        <v>55</v>
      </c>
      <c r="D9" s="9">
        <v>8</v>
      </c>
      <c r="E9" s="7">
        <f>DAY(EOMONTH(DATE(B9,MATCH(A9,{"January","February","March","April","May","June","July","August","September","October","November","December"},0),1),0))</f>
        <v>31</v>
      </c>
      <c r="F9" s="7" cm="1">
        <f t="array" aca="1" ref="F9" ca="1">SUMPRODUCT(--(WEEKDAY(DATE(B9,MATCH(A9,{"January","February","March","April","May","June","July","August","September","October","November","December"},0),ROW(INDIRECT("1:"&amp;E9))),1)=1))</f>
        <v>4</v>
      </c>
      <c r="G9" s="7">
        <v>0</v>
      </c>
      <c r="H9" s="7">
        <f t="shared" ca="1" si="8"/>
        <v>27</v>
      </c>
      <c r="I9" s="7">
        <f t="shared" ca="1" si="9"/>
        <v>216</v>
      </c>
      <c r="J9" s="7">
        <f ca="1">C9*I9</f>
        <v>11880</v>
      </c>
      <c r="K9" s="7">
        <f ca="1">J9*15%</f>
        <v>1782</v>
      </c>
      <c r="L9" s="7">
        <f t="shared" ca="1" si="12"/>
        <v>594</v>
      </c>
      <c r="M9" s="7">
        <f t="shared" ca="1" si="13"/>
        <v>237.6</v>
      </c>
      <c r="N9" s="7">
        <v>7</v>
      </c>
      <c r="O9" s="7">
        <f t="shared" ca="1" si="14"/>
        <v>3564</v>
      </c>
      <c r="P9" s="7">
        <v>73</v>
      </c>
      <c r="Q9" s="8">
        <f t="shared" ca="1" si="15"/>
        <v>12750.4</v>
      </c>
    </row>
    <row r="10" spans="1:18" ht="25" customHeight="1" x14ac:dyDescent="0.35">
      <c r="A10" s="6" t="s">
        <v>18</v>
      </c>
      <c r="B10" s="9">
        <v>2026</v>
      </c>
      <c r="C10" s="7">
        <v>30</v>
      </c>
      <c r="D10" s="9">
        <v>8</v>
      </c>
      <c r="E10" s="7">
        <f>DAY(EOMONTH(DATE(B10,MATCH(A10,{"January","February","March","April","May","June","July","August","September","October","November","December"},0),1),0))</f>
        <v>31</v>
      </c>
      <c r="F10" s="7" cm="1">
        <f t="array" aca="1" ref="F10" ca="1">SUMPRODUCT(--(WEEKDAY(DATE(B10,MATCH(A10,{"January","February","March","April","May","June","July","August","September","October","November","December"},0),ROW(INDIRECT("1:"&amp;E10))),1)=1))</f>
        <v>5</v>
      </c>
      <c r="G10" s="7">
        <v>2</v>
      </c>
      <c r="H10" s="7">
        <f t="shared" ca="1" si="8"/>
        <v>24</v>
      </c>
      <c r="I10" s="7">
        <f t="shared" ca="1" si="9"/>
        <v>192</v>
      </c>
      <c r="J10" s="7">
        <f t="shared" ca="1" si="10"/>
        <v>5760</v>
      </c>
      <c r="K10" s="7">
        <f t="shared" ca="1" si="11"/>
        <v>864</v>
      </c>
      <c r="L10" s="7">
        <f t="shared" ca="1" si="12"/>
        <v>288</v>
      </c>
      <c r="M10" s="7">
        <f t="shared" ca="1" si="13"/>
        <v>115.2</v>
      </c>
      <c r="N10" s="7">
        <v>8</v>
      </c>
      <c r="O10" s="7">
        <f t="shared" ca="1" si="14"/>
        <v>1728</v>
      </c>
      <c r="P10" s="7">
        <v>71</v>
      </c>
      <c r="Q10" s="8">
        <f t="shared" ca="1" si="15"/>
        <v>6141.8</v>
      </c>
    </row>
    <row r="11" spans="1:18" ht="25" customHeight="1" x14ac:dyDescent="0.35">
      <c r="A11" s="6" t="s">
        <v>19</v>
      </c>
      <c r="B11" s="9">
        <v>2026</v>
      </c>
      <c r="C11" s="7">
        <v>30</v>
      </c>
      <c r="D11" s="9">
        <v>8</v>
      </c>
      <c r="E11" s="7">
        <f>DAY(EOMONTH(DATE(B11,MATCH(A11,{"January","February","March","April","May","June","July","August","September","October","November","December"},0),1),0))</f>
        <v>30</v>
      </c>
      <c r="F11" s="7" cm="1">
        <f t="array" aca="1" ref="F11" ca="1">SUMPRODUCT(--(WEEKDAY(DATE(B11,MATCH(A11,{"January","February","March","April","May","June","July","August","September","October","November","December"},0),ROW(INDIRECT("1:"&amp;E11))),1)=1))</f>
        <v>4</v>
      </c>
      <c r="G11" s="7">
        <v>0</v>
      </c>
      <c r="H11" s="7">
        <f t="shared" ca="1" si="8"/>
        <v>26</v>
      </c>
      <c r="I11" s="7">
        <f t="shared" ca="1" si="9"/>
        <v>208</v>
      </c>
      <c r="J11" s="7">
        <f t="shared" ca="1" si="10"/>
        <v>6240</v>
      </c>
      <c r="K11" s="7">
        <f t="shared" ca="1" si="11"/>
        <v>936</v>
      </c>
      <c r="L11" s="7">
        <f t="shared" ca="1" si="12"/>
        <v>312</v>
      </c>
      <c r="M11" s="7">
        <f t="shared" ca="1" si="13"/>
        <v>124.8</v>
      </c>
      <c r="N11" s="7">
        <v>6</v>
      </c>
      <c r="O11" s="7">
        <f t="shared" ca="1" si="14"/>
        <v>1872</v>
      </c>
      <c r="P11" s="7">
        <v>72</v>
      </c>
      <c r="Q11" s="8">
        <f t="shared" ca="1" si="15"/>
        <v>6661.2</v>
      </c>
    </row>
    <row r="12" spans="1:18" ht="26" customHeight="1" x14ac:dyDescent="0.35">
      <c r="A12" s="6" t="s">
        <v>20</v>
      </c>
      <c r="B12" s="9">
        <v>2026</v>
      </c>
      <c r="C12" s="9">
        <v>26</v>
      </c>
      <c r="D12" s="9">
        <v>8</v>
      </c>
      <c r="E12" s="9">
        <f>DAY(EOMONTH(DATE(B12,MATCH(A12,{"January","February","March","April","May","June","July","August","September","October","November","December"},0),1),0))</f>
        <v>31</v>
      </c>
      <c r="F12" s="9" cm="1">
        <f t="array" aca="1" ref="F12" ca="1">SUMPRODUCT(--(WEEKDAY(DATE(B12,MATCH(A12,{"January","February","March","April","May","June","July","August","September","October","November","December"},0),ROW(INDIRECT("1:"&amp;E12))),1)=1))</f>
        <v>4</v>
      </c>
      <c r="G12" s="9">
        <v>0</v>
      </c>
      <c r="H12" s="9">
        <f ca="1">E12-F12-G12</f>
        <v>27</v>
      </c>
      <c r="I12" s="9">
        <f ca="1">H12*D12</f>
        <v>216</v>
      </c>
      <c r="J12" s="9">
        <f ca="1">C12*I12</f>
        <v>5616</v>
      </c>
      <c r="K12" s="9">
        <f ca="1">J12*15%</f>
        <v>842.4</v>
      </c>
      <c r="L12" s="9">
        <f ca="1">J12*5%</f>
        <v>280.8</v>
      </c>
      <c r="M12" s="9">
        <f ca="1">J12*2%</f>
        <v>112.32000000000001</v>
      </c>
      <c r="N12" s="9">
        <v>7</v>
      </c>
      <c r="O12" s="9">
        <f ca="1">J12*30%</f>
        <v>1684.8</v>
      </c>
      <c r="P12" s="9">
        <v>71</v>
      </c>
      <c r="Q12" s="10">
        <f ca="1">J12-K12-L12-M12-N12+O12-P12</f>
        <v>5987.2800000000007</v>
      </c>
    </row>
  </sheetData>
  <mergeCells count="1">
    <mergeCell ref="A1:Q1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7DA1-9DC2-41E5-A975-19540324A948}">
  <dimension ref="A1:J129"/>
  <sheetViews>
    <sheetView topLeftCell="E1" zoomScaleNormal="100" workbookViewId="0">
      <selection activeCell="F7" sqref="F7"/>
    </sheetView>
  </sheetViews>
  <sheetFormatPr defaultRowHeight="14.5" x14ac:dyDescent="0.35"/>
  <cols>
    <col min="1" max="2" width="23.6328125" customWidth="1"/>
    <col min="3" max="3" width="28.90625" customWidth="1"/>
    <col min="4" max="4" width="60.6328125" customWidth="1"/>
    <col min="5" max="5" width="38.08984375" customWidth="1"/>
    <col min="6" max="10" width="23.6328125" customWidth="1"/>
  </cols>
  <sheetData>
    <row r="1" spans="1:10" ht="58.5" customHeight="1" x14ac:dyDescent="0.35">
      <c r="A1" s="118" t="s">
        <v>59</v>
      </c>
      <c r="B1" s="119"/>
      <c r="C1" s="119"/>
      <c r="D1" s="119"/>
      <c r="E1" s="119"/>
      <c r="F1" s="119"/>
      <c r="G1" s="119"/>
      <c r="H1" s="119"/>
      <c r="I1" s="119"/>
      <c r="J1" s="120"/>
    </row>
    <row r="2" spans="1:10" ht="39" customHeight="1" x14ac:dyDescent="0.35">
      <c r="A2" s="11" t="s">
        <v>1</v>
      </c>
      <c r="B2" s="12" t="s">
        <v>22</v>
      </c>
      <c r="C2" s="12" t="s">
        <v>23</v>
      </c>
      <c r="D2" s="12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3" t="s">
        <v>29</v>
      </c>
      <c r="J2" s="14" t="s">
        <v>30</v>
      </c>
    </row>
    <row r="3" spans="1:10" ht="28" customHeight="1" x14ac:dyDescent="0.35">
      <c r="A3" s="64" t="s">
        <v>94</v>
      </c>
      <c r="B3" s="65">
        <v>2026</v>
      </c>
      <c r="C3" s="66">
        <v>1307141</v>
      </c>
      <c r="D3" s="67" t="s">
        <v>96</v>
      </c>
      <c r="E3" s="67" t="s">
        <v>105</v>
      </c>
      <c r="F3" s="68" t="s">
        <v>113</v>
      </c>
      <c r="G3" s="69">
        <v>1</v>
      </c>
      <c r="H3" s="65">
        <v>8</v>
      </c>
      <c r="I3" s="65">
        <v>165</v>
      </c>
      <c r="J3" s="70">
        <f t="shared" ref="J3:J71" si="0">H3*I3</f>
        <v>1320</v>
      </c>
    </row>
    <row r="4" spans="1:10" ht="28" customHeight="1" x14ac:dyDescent="0.35">
      <c r="A4" s="64" t="s">
        <v>94</v>
      </c>
      <c r="B4" s="65">
        <v>2026</v>
      </c>
      <c r="C4" s="66">
        <v>1307074</v>
      </c>
      <c r="D4" s="67" t="s">
        <v>97</v>
      </c>
      <c r="E4" s="67" t="s">
        <v>106</v>
      </c>
      <c r="F4" s="68" t="s">
        <v>113</v>
      </c>
      <c r="G4" s="69">
        <v>1</v>
      </c>
      <c r="H4" s="65">
        <v>1</v>
      </c>
      <c r="I4" s="65">
        <v>165</v>
      </c>
      <c r="J4" s="70">
        <f t="shared" si="0"/>
        <v>165</v>
      </c>
    </row>
    <row r="5" spans="1:10" ht="28" customHeight="1" x14ac:dyDescent="0.35">
      <c r="A5" s="64" t="s">
        <v>94</v>
      </c>
      <c r="B5" s="65">
        <v>2026</v>
      </c>
      <c r="C5" s="66">
        <v>1307075</v>
      </c>
      <c r="D5" s="67" t="s">
        <v>97</v>
      </c>
      <c r="E5" s="67" t="s">
        <v>107</v>
      </c>
      <c r="F5" s="68" t="s">
        <v>113</v>
      </c>
      <c r="G5" s="69">
        <v>1</v>
      </c>
      <c r="H5" s="65">
        <v>1</v>
      </c>
      <c r="I5" s="65">
        <v>165</v>
      </c>
      <c r="J5" s="70">
        <f t="shared" si="0"/>
        <v>165</v>
      </c>
    </row>
    <row r="6" spans="1:10" ht="28" customHeight="1" x14ac:dyDescent="0.35">
      <c r="A6" s="64" t="s">
        <v>94</v>
      </c>
      <c r="B6" s="65">
        <v>2026</v>
      </c>
      <c r="C6" s="66">
        <v>1307691</v>
      </c>
      <c r="D6" s="67" t="s">
        <v>98</v>
      </c>
      <c r="E6" s="67" t="s">
        <v>48</v>
      </c>
      <c r="F6" s="68" t="s">
        <v>54</v>
      </c>
      <c r="G6" s="69">
        <v>1</v>
      </c>
      <c r="H6" s="65">
        <v>2</v>
      </c>
      <c r="I6" s="65">
        <v>112</v>
      </c>
      <c r="J6" s="70">
        <f t="shared" si="0"/>
        <v>224</v>
      </c>
    </row>
    <row r="7" spans="1:10" ht="28" customHeight="1" x14ac:dyDescent="0.35">
      <c r="A7" s="64" t="s">
        <v>94</v>
      </c>
      <c r="B7" s="65">
        <v>2026</v>
      </c>
      <c r="C7" s="66">
        <v>1307669</v>
      </c>
      <c r="D7" s="67" t="s">
        <v>99</v>
      </c>
      <c r="E7" s="67" t="s">
        <v>108</v>
      </c>
      <c r="F7" s="68" t="s">
        <v>114</v>
      </c>
      <c r="G7" s="69">
        <v>1</v>
      </c>
      <c r="H7" s="65">
        <v>3</v>
      </c>
      <c r="I7" s="65">
        <v>65</v>
      </c>
      <c r="J7" s="70">
        <f t="shared" si="0"/>
        <v>195</v>
      </c>
    </row>
    <row r="8" spans="1:10" ht="28" customHeight="1" x14ac:dyDescent="0.35">
      <c r="A8" s="64" t="s">
        <v>94</v>
      </c>
      <c r="B8" s="65">
        <v>2026</v>
      </c>
      <c r="C8" s="66">
        <v>1307683</v>
      </c>
      <c r="D8" s="67" t="s">
        <v>100</v>
      </c>
      <c r="E8" s="67" t="s">
        <v>109</v>
      </c>
      <c r="F8" s="68" t="s">
        <v>58</v>
      </c>
      <c r="G8" s="69">
        <v>1</v>
      </c>
      <c r="H8" s="65">
        <v>1</v>
      </c>
      <c r="I8" s="65">
        <v>127</v>
      </c>
      <c r="J8" s="70">
        <f t="shared" si="0"/>
        <v>127</v>
      </c>
    </row>
    <row r="9" spans="1:10" ht="28" customHeight="1" x14ac:dyDescent="0.35">
      <c r="A9" s="64" t="s">
        <v>94</v>
      </c>
      <c r="B9" s="65">
        <v>2026</v>
      </c>
      <c r="C9" s="66">
        <v>1307689</v>
      </c>
      <c r="D9" s="67" t="s">
        <v>101</v>
      </c>
      <c r="E9" s="67" t="s">
        <v>110</v>
      </c>
      <c r="F9" s="68" t="s">
        <v>58</v>
      </c>
      <c r="G9" s="69">
        <v>1</v>
      </c>
      <c r="H9" s="65">
        <v>3</v>
      </c>
      <c r="I9" s="65">
        <v>127</v>
      </c>
      <c r="J9" s="70">
        <f t="shared" si="0"/>
        <v>381</v>
      </c>
    </row>
    <row r="10" spans="1:10" ht="28" customHeight="1" x14ac:dyDescent="0.35">
      <c r="A10" s="64" t="s">
        <v>94</v>
      </c>
      <c r="B10" s="65">
        <v>2026</v>
      </c>
      <c r="C10" s="66">
        <v>1307536</v>
      </c>
      <c r="D10" s="67" t="s">
        <v>102</v>
      </c>
      <c r="E10" s="67" t="s">
        <v>88</v>
      </c>
      <c r="F10" s="68" t="s">
        <v>56</v>
      </c>
      <c r="G10" s="69">
        <v>1</v>
      </c>
      <c r="H10" s="65">
        <v>6</v>
      </c>
      <c r="I10" s="65">
        <v>122.5</v>
      </c>
      <c r="J10" s="70">
        <f t="shared" si="0"/>
        <v>735</v>
      </c>
    </row>
    <row r="11" spans="1:10" ht="28" customHeight="1" x14ac:dyDescent="0.35">
      <c r="A11" s="64" t="s">
        <v>94</v>
      </c>
      <c r="B11" s="65">
        <v>2026</v>
      </c>
      <c r="C11" s="66">
        <v>1307532</v>
      </c>
      <c r="D11" s="67" t="s">
        <v>102</v>
      </c>
      <c r="E11" s="67" t="s">
        <v>111</v>
      </c>
      <c r="F11" s="68" t="s">
        <v>55</v>
      </c>
      <c r="G11" s="69">
        <v>1</v>
      </c>
      <c r="H11" s="65">
        <v>4</v>
      </c>
      <c r="I11" s="65">
        <v>122.5</v>
      </c>
      <c r="J11" s="70">
        <f t="shared" si="0"/>
        <v>490</v>
      </c>
    </row>
    <row r="12" spans="1:10" ht="28" customHeight="1" x14ac:dyDescent="0.35">
      <c r="A12" s="64" t="s">
        <v>94</v>
      </c>
      <c r="B12" s="65">
        <v>2026</v>
      </c>
      <c r="C12" s="66">
        <v>1307535</v>
      </c>
      <c r="D12" s="67" t="s">
        <v>102</v>
      </c>
      <c r="E12" s="67" t="s">
        <v>111</v>
      </c>
      <c r="F12" s="68" t="s">
        <v>55</v>
      </c>
      <c r="G12" s="69">
        <v>1</v>
      </c>
      <c r="H12" s="65">
        <v>4</v>
      </c>
      <c r="I12" s="65">
        <v>122.5</v>
      </c>
      <c r="J12" s="70">
        <f t="shared" si="0"/>
        <v>490</v>
      </c>
    </row>
    <row r="13" spans="1:10" ht="28" customHeight="1" x14ac:dyDescent="0.35">
      <c r="A13" s="64" t="s">
        <v>94</v>
      </c>
      <c r="B13" s="65">
        <v>2026</v>
      </c>
      <c r="C13" s="66">
        <v>1307703</v>
      </c>
      <c r="D13" s="67" t="s">
        <v>103</v>
      </c>
      <c r="E13" s="67" t="s">
        <v>112</v>
      </c>
      <c r="F13" s="68" t="s">
        <v>57</v>
      </c>
      <c r="G13" s="69">
        <v>1</v>
      </c>
      <c r="H13" s="65">
        <v>1</v>
      </c>
      <c r="I13" s="65">
        <v>145</v>
      </c>
      <c r="J13" s="70">
        <f t="shared" si="0"/>
        <v>145</v>
      </c>
    </row>
    <row r="14" spans="1:10" ht="28" customHeight="1" x14ac:dyDescent="0.35">
      <c r="A14" s="64" t="s">
        <v>94</v>
      </c>
      <c r="B14" s="65">
        <v>2026</v>
      </c>
      <c r="C14" s="66" t="s">
        <v>95</v>
      </c>
      <c r="D14" s="67" t="s">
        <v>103</v>
      </c>
      <c r="E14" s="67" t="s">
        <v>48</v>
      </c>
      <c r="F14" s="68" t="s">
        <v>54</v>
      </c>
      <c r="G14" s="69">
        <v>1</v>
      </c>
      <c r="H14" s="65">
        <v>2</v>
      </c>
      <c r="I14" s="65">
        <v>127</v>
      </c>
      <c r="J14" s="70">
        <f t="shared" si="0"/>
        <v>254</v>
      </c>
    </row>
    <row r="15" spans="1:10" ht="28" customHeight="1" x14ac:dyDescent="0.35">
      <c r="A15" s="64" t="s">
        <v>94</v>
      </c>
      <c r="B15" s="65">
        <v>2026</v>
      </c>
      <c r="C15" s="66">
        <v>1307709</v>
      </c>
      <c r="D15" s="67" t="s">
        <v>104</v>
      </c>
      <c r="E15" s="67" t="s">
        <v>48</v>
      </c>
      <c r="F15" s="68" t="s">
        <v>54</v>
      </c>
      <c r="G15" s="69">
        <v>1</v>
      </c>
      <c r="H15" s="65">
        <v>1</v>
      </c>
      <c r="I15" s="65">
        <v>127</v>
      </c>
      <c r="J15" s="70">
        <f t="shared" si="0"/>
        <v>127</v>
      </c>
    </row>
    <row r="16" spans="1:10" ht="28" customHeight="1" x14ac:dyDescent="0.35">
      <c r="A16" s="29" t="s">
        <v>115</v>
      </c>
      <c r="B16" s="30">
        <v>2026</v>
      </c>
      <c r="C16" s="37">
        <v>1307249</v>
      </c>
      <c r="D16" s="32" t="s">
        <v>96</v>
      </c>
      <c r="E16" s="32" t="s">
        <v>105</v>
      </c>
      <c r="F16" s="38" t="s">
        <v>113</v>
      </c>
      <c r="G16" s="34">
        <v>1</v>
      </c>
      <c r="H16" s="39">
        <v>4</v>
      </c>
      <c r="I16" s="30">
        <v>165</v>
      </c>
      <c r="J16" s="35">
        <f t="shared" si="0"/>
        <v>660</v>
      </c>
    </row>
    <row r="17" spans="1:10" ht="28" customHeight="1" x14ac:dyDescent="0.35">
      <c r="A17" s="29" t="s">
        <v>115</v>
      </c>
      <c r="B17" s="30">
        <v>2026</v>
      </c>
      <c r="C17" s="37">
        <v>1306950</v>
      </c>
      <c r="D17" s="32" t="s">
        <v>96</v>
      </c>
      <c r="E17" s="32" t="s">
        <v>135</v>
      </c>
      <c r="F17" s="38" t="s">
        <v>113</v>
      </c>
      <c r="G17" s="34">
        <v>1</v>
      </c>
      <c r="H17" s="39">
        <v>3</v>
      </c>
      <c r="I17" s="30">
        <v>165</v>
      </c>
      <c r="J17" s="35">
        <f t="shared" si="0"/>
        <v>495</v>
      </c>
    </row>
    <row r="18" spans="1:10" ht="28" customHeight="1" x14ac:dyDescent="0.35">
      <c r="A18" s="29" t="s">
        <v>115</v>
      </c>
      <c r="B18" s="30">
        <v>2026</v>
      </c>
      <c r="C18" s="37" t="s">
        <v>116</v>
      </c>
      <c r="D18" s="32" t="s">
        <v>120</v>
      </c>
      <c r="E18" s="32" t="s">
        <v>48</v>
      </c>
      <c r="F18" s="38" t="s">
        <v>54</v>
      </c>
      <c r="G18" s="34">
        <v>1</v>
      </c>
      <c r="H18" s="39">
        <v>2</v>
      </c>
      <c r="I18" s="30">
        <v>112</v>
      </c>
      <c r="J18" s="35">
        <f t="shared" si="0"/>
        <v>224</v>
      </c>
    </row>
    <row r="19" spans="1:10" ht="28" customHeight="1" x14ac:dyDescent="0.35">
      <c r="A19" s="29" t="s">
        <v>115</v>
      </c>
      <c r="B19" s="30">
        <v>2026</v>
      </c>
      <c r="C19" s="37" t="s">
        <v>117</v>
      </c>
      <c r="D19" s="32" t="s">
        <v>121</v>
      </c>
      <c r="E19" s="32" t="s">
        <v>48</v>
      </c>
      <c r="F19" s="38" t="s">
        <v>54</v>
      </c>
      <c r="G19" s="34">
        <v>1</v>
      </c>
      <c r="H19" s="39">
        <v>2</v>
      </c>
      <c r="I19" s="30">
        <v>112</v>
      </c>
      <c r="J19" s="35">
        <f t="shared" si="0"/>
        <v>224</v>
      </c>
    </row>
    <row r="20" spans="1:10" ht="28" customHeight="1" x14ac:dyDescent="0.35">
      <c r="A20" s="29" t="s">
        <v>115</v>
      </c>
      <c r="B20" s="30">
        <v>2026</v>
      </c>
      <c r="C20" s="37" t="s">
        <v>118</v>
      </c>
      <c r="D20" s="32" t="s">
        <v>122</v>
      </c>
      <c r="E20" s="32" t="s">
        <v>48</v>
      </c>
      <c r="F20" s="38" t="s">
        <v>54</v>
      </c>
      <c r="G20" s="34">
        <v>1</v>
      </c>
      <c r="H20" s="39">
        <v>2</v>
      </c>
      <c r="I20" s="30">
        <v>112</v>
      </c>
      <c r="J20" s="35">
        <f t="shared" si="0"/>
        <v>224</v>
      </c>
    </row>
    <row r="21" spans="1:10" ht="28" customHeight="1" x14ac:dyDescent="0.35">
      <c r="A21" s="29" t="s">
        <v>115</v>
      </c>
      <c r="B21" s="30">
        <v>2026</v>
      </c>
      <c r="C21" s="37">
        <v>1307791</v>
      </c>
      <c r="D21" s="32" t="s">
        <v>123</v>
      </c>
      <c r="E21" s="32" t="s">
        <v>48</v>
      </c>
      <c r="F21" s="38" t="s">
        <v>54</v>
      </c>
      <c r="G21" s="34">
        <v>1</v>
      </c>
      <c r="H21" s="39">
        <v>1</v>
      </c>
      <c r="I21" s="30">
        <v>112</v>
      </c>
      <c r="J21" s="35">
        <f t="shared" si="0"/>
        <v>112</v>
      </c>
    </row>
    <row r="22" spans="1:10" ht="28" customHeight="1" x14ac:dyDescent="0.35">
      <c r="A22" s="29" t="s">
        <v>115</v>
      </c>
      <c r="B22" s="30">
        <v>2026</v>
      </c>
      <c r="C22" s="37">
        <v>1307777</v>
      </c>
      <c r="D22" s="32" t="s">
        <v>124</v>
      </c>
      <c r="E22" s="32" t="s">
        <v>90</v>
      </c>
      <c r="F22" s="38" t="s">
        <v>57</v>
      </c>
      <c r="G22" s="34">
        <v>1</v>
      </c>
      <c r="H22" s="39">
        <v>1</v>
      </c>
      <c r="I22" s="30">
        <v>145</v>
      </c>
      <c r="J22" s="35">
        <f t="shared" si="0"/>
        <v>145</v>
      </c>
    </row>
    <row r="23" spans="1:10" ht="28" customHeight="1" x14ac:dyDescent="0.35">
      <c r="A23" s="29" t="s">
        <v>115</v>
      </c>
      <c r="B23" s="30">
        <v>2026</v>
      </c>
      <c r="C23" s="37">
        <v>1307710</v>
      </c>
      <c r="D23" s="32" t="s">
        <v>125</v>
      </c>
      <c r="E23" s="32" t="s">
        <v>136</v>
      </c>
      <c r="F23" s="38" t="s">
        <v>58</v>
      </c>
      <c r="G23" s="34">
        <v>1</v>
      </c>
      <c r="H23" s="39">
        <v>2</v>
      </c>
      <c r="I23" s="30">
        <v>127</v>
      </c>
      <c r="J23" s="35">
        <f t="shared" si="0"/>
        <v>254</v>
      </c>
    </row>
    <row r="24" spans="1:10" ht="28" customHeight="1" x14ac:dyDescent="0.35">
      <c r="A24" s="29" t="s">
        <v>115</v>
      </c>
      <c r="B24" s="30">
        <v>2026</v>
      </c>
      <c r="C24" s="37">
        <v>1307711</v>
      </c>
      <c r="D24" s="32" t="s">
        <v>125</v>
      </c>
      <c r="E24" s="32" t="s">
        <v>137</v>
      </c>
      <c r="F24" s="38" t="s">
        <v>58</v>
      </c>
      <c r="G24" s="34">
        <v>1</v>
      </c>
      <c r="H24" s="39">
        <v>3</v>
      </c>
      <c r="I24" s="30">
        <v>127</v>
      </c>
      <c r="J24" s="35">
        <f t="shared" si="0"/>
        <v>381</v>
      </c>
    </row>
    <row r="25" spans="1:10" ht="28" customHeight="1" x14ac:dyDescent="0.35">
      <c r="A25" s="29" t="s">
        <v>115</v>
      </c>
      <c r="B25" s="30">
        <v>2026</v>
      </c>
      <c r="C25" s="37">
        <v>1307112</v>
      </c>
      <c r="D25" s="32" t="s">
        <v>126</v>
      </c>
      <c r="E25" s="32" t="s">
        <v>138</v>
      </c>
      <c r="F25" s="38" t="s">
        <v>58</v>
      </c>
      <c r="G25" s="34">
        <v>1</v>
      </c>
      <c r="H25" s="39">
        <v>2</v>
      </c>
      <c r="I25" s="30">
        <v>127</v>
      </c>
      <c r="J25" s="35">
        <f t="shared" si="0"/>
        <v>254</v>
      </c>
    </row>
    <row r="26" spans="1:10" ht="28" customHeight="1" x14ac:dyDescent="0.35">
      <c r="A26" s="29" t="s">
        <v>115</v>
      </c>
      <c r="B26" s="30">
        <v>2026</v>
      </c>
      <c r="C26" s="37">
        <v>1307713</v>
      </c>
      <c r="D26" s="32" t="s">
        <v>126</v>
      </c>
      <c r="E26" s="32" t="s">
        <v>139</v>
      </c>
      <c r="F26" s="38" t="s">
        <v>58</v>
      </c>
      <c r="G26" s="34">
        <v>1</v>
      </c>
      <c r="H26" s="39">
        <v>1</v>
      </c>
      <c r="I26" s="30">
        <v>127</v>
      </c>
      <c r="J26" s="35">
        <f t="shared" si="0"/>
        <v>127</v>
      </c>
    </row>
    <row r="27" spans="1:10" ht="28" customHeight="1" x14ac:dyDescent="0.35">
      <c r="A27" s="29" t="s">
        <v>115</v>
      </c>
      <c r="B27" s="30">
        <v>2026</v>
      </c>
      <c r="C27" s="37" t="s">
        <v>119</v>
      </c>
      <c r="D27" s="32" t="s">
        <v>127</v>
      </c>
      <c r="E27" s="32" t="s">
        <v>140</v>
      </c>
      <c r="F27" s="38" t="s">
        <v>58</v>
      </c>
      <c r="G27" s="34">
        <v>1</v>
      </c>
      <c r="H27" s="39">
        <v>4</v>
      </c>
      <c r="I27" s="30">
        <v>127</v>
      </c>
      <c r="J27" s="35">
        <f t="shared" si="0"/>
        <v>508</v>
      </c>
    </row>
    <row r="28" spans="1:10" ht="28" customHeight="1" x14ac:dyDescent="0.35">
      <c r="A28" s="29" t="s">
        <v>115</v>
      </c>
      <c r="B28" s="30">
        <v>2026</v>
      </c>
      <c r="C28" s="37">
        <v>1307361</v>
      </c>
      <c r="D28" s="32" t="s">
        <v>128</v>
      </c>
      <c r="E28" s="32" t="s">
        <v>89</v>
      </c>
      <c r="F28" s="38" t="s">
        <v>56</v>
      </c>
      <c r="G28" s="34">
        <v>1</v>
      </c>
      <c r="H28" s="40">
        <v>1</v>
      </c>
      <c r="I28" s="30">
        <v>122.5</v>
      </c>
      <c r="J28" s="35">
        <f t="shared" si="0"/>
        <v>122.5</v>
      </c>
    </row>
    <row r="29" spans="1:10" ht="28" customHeight="1" x14ac:dyDescent="0.35">
      <c r="A29" s="29" t="s">
        <v>115</v>
      </c>
      <c r="B29" s="30">
        <v>2026</v>
      </c>
      <c r="C29" s="37">
        <v>1307793</v>
      </c>
      <c r="D29" s="32" t="s">
        <v>128</v>
      </c>
      <c r="E29" s="32" t="s">
        <v>89</v>
      </c>
      <c r="F29" s="38" t="s">
        <v>56</v>
      </c>
      <c r="G29" s="34">
        <v>1</v>
      </c>
      <c r="H29" s="40">
        <v>1</v>
      </c>
      <c r="I29" s="30">
        <v>122.5</v>
      </c>
      <c r="J29" s="35">
        <f t="shared" ref="J29:J69" si="1">H29*I29</f>
        <v>122.5</v>
      </c>
    </row>
    <row r="30" spans="1:10" ht="28" customHeight="1" x14ac:dyDescent="0.35">
      <c r="A30" s="29" t="s">
        <v>115</v>
      </c>
      <c r="B30" s="30">
        <v>2026</v>
      </c>
      <c r="C30" s="37">
        <v>1307361</v>
      </c>
      <c r="D30" s="32" t="s">
        <v>128</v>
      </c>
      <c r="E30" s="32" t="s">
        <v>88</v>
      </c>
      <c r="F30" s="38" t="s">
        <v>56</v>
      </c>
      <c r="G30" s="34">
        <v>1</v>
      </c>
      <c r="H30" s="40">
        <v>2</v>
      </c>
      <c r="I30" s="30">
        <v>122.5</v>
      </c>
      <c r="J30" s="35">
        <f t="shared" si="1"/>
        <v>245</v>
      </c>
    </row>
    <row r="31" spans="1:10" ht="28" customHeight="1" x14ac:dyDescent="0.35">
      <c r="A31" s="29" t="s">
        <v>115</v>
      </c>
      <c r="B31" s="30">
        <v>2026</v>
      </c>
      <c r="C31" s="37">
        <v>1307782</v>
      </c>
      <c r="D31" s="32" t="s">
        <v>129</v>
      </c>
      <c r="E31" s="32" t="s">
        <v>141</v>
      </c>
      <c r="F31" s="38" t="s">
        <v>56</v>
      </c>
      <c r="G31" s="34">
        <v>1</v>
      </c>
      <c r="H31" s="39">
        <v>2</v>
      </c>
      <c r="I31" s="30">
        <v>122.5</v>
      </c>
      <c r="J31" s="35">
        <f t="shared" si="1"/>
        <v>245</v>
      </c>
    </row>
    <row r="32" spans="1:10" ht="28" customHeight="1" x14ac:dyDescent="0.35">
      <c r="A32" s="29" t="s">
        <v>115</v>
      </c>
      <c r="B32" s="30">
        <v>2026</v>
      </c>
      <c r="C32" s="37">
        <v>1307781</v>
      </c>
      <c r="D32" s="32" t="s">
        <v>129</v>
      </c>
      <c r="E32" s="32" t="s">
        <v>142</v>
      </c>
      <c r="F32" s="38" t="s">
        <v>55</v>
      </c>
      <c r="G32" s="34">
        <v>1</v>
      </c>
      <c r="H32" s="39">
        <v>1</v>
      </c>
      <c r="I32" s="30">
        <v>122.5</v>
      </c>
      <c r="J32" s="35">
        <f t="shared" si="1"/>
        <v>122.5</v>
      </c>
    </row>
    <row r="33" spans="1:10" ht="28" customHeight="1" x14ac:dyDescent="0.35">
      <c r="A33" s="29" t="s">
        <v>115</v>
      </c>
      <c r="B33" s="30">
        <v>2026</v>
      </c>
      <c r="C33" s="37">
        <v>1307762</v>
      </c>
      <c r="D33" s="32" t="s">
        <v>130</v>
      </c>
      <c r="E33" s="32" t="s">
        <v>143</v>
      </c>
      <c r="F33" s="38" t="s">
        <v>55</v>
      </c>
      <c r="G33" s="34">
        <v>1</v>
      </c>
      <c r="H33" s="39">
        <v>1</v>
      </c>
      <c r="I33" s="30">
        <v>122.5</v>
      </c>
      <c r="J33" s="35">
        <f t="shared" si="1"/>
        <v>122.5</v>
      </c>
    </row>
    <row r="34" spans="1:10" ht="28" customHeight="1" x14ac:dyDescent="0.35">
      <c r="A34" s="29" t="s">
        <v>115</v>
      </c>
      <c r="B34" s="30">
        <v>2026</v>
      </c>
      <c r="C34" s="37">
        <v>1307780</v>
      </c>
      <c r="D34" s="32" t="s">
        <v>131</v>
      </c>
      <c r="E34" s="32" t="s">
        <v>144</v>
      </c>
      <c r="F34" s="38" t="s">
        <v>55</v>
      </c>
      <c r="G34" s="34">
        <v>1</v>
      </c>
      <c r="H34" s="39">
        <v>1</v>
      </c>
      <c r="I34" s="30">
        <v>122.5</v>
      </c>
      <c r="J34" s="35">
        <f t="shared" si="1"/>
        <v>122.5</v>
      </c>
    </row>
    <row r="35" spans="1:10" ht="28" customHeight="1" x14ac:dyDescent="0.35">
      <c r="A35" s="29" t="s">
        <v>115</v>
      </c>
      <c r="B35" s="30">
        <v>2026</v>
      </c>
      <c r="C35" s="37">
        <v>1307779</v>
      </c>
      <c r="D35" s="32" t="s">
        <v>131</v>
      </c>
      <c r="E35" s="32" t="s">
        <v>141</v>
      </c>
      <c r="F35" s="38" t="s">
        <v>56</v>
      </c>
      <c r="G35" s="34">
        <v>1</v>
      </c>
      <c r="H35" s="39">
        <v>9</v>
      </c>
      <c r="I35" s="30">
        <v>122.5</v>
      </c>
      <c r="J35" s="35">
        <f t="shared" si="1"/>
        <v>1102.5</v>
      </c>
    </row>
    <row r="36" spans="1:10" ht="28" customHeight="1" x14ac:dyDescent="0.35">
      <c r="A36" s="29" t="s">
        <v>115</v>
      </c>
      <c r="B36" s="30">
        <v>2026</v>
      </c>
      <c r="C36" s="37">
        <v>1307785</v>
      </c>
      <c r="D36" s="32" t="s">
        <v>132</v>
      </c>
      <c r="E36" s="32" t="s">
        <v>142</v>
      </c>
      <c r="F36" s="38" t="s">
        <v>55</v>
      </c>
      <c r="G36" s="34">
        <v>1</v>
      </c>
      <c r="H36" s="39">
        <v>1</v>
      </c>
      <c r="I36" s="30">
        <v>122.5</v>
      </c>
      <c r="J36" s="35">
        <f t="shared" si="1"/>
        <v>122.5</v>
      </c>
    </row>
    <row r="37" spans="1:10" ht="28" customHeight="1" x14ac:dyDescent="0.35">
      <c r="A37" s="29" t="s">
        <v>115</v>
      </c>
      <c r="B37" s="30">
        <v>2026</v>
      </c>
      <c r="C37" s="37">
        <v>1307786</v>
      </c>
      <c r="D37" s="32" t="s">
        <v>132</v>
      </c>
      <c r="E37" s="32" t="s">
        <v>144</v>
      </c>
      <c r="F37" s="38" t="s">
        <v>55</v>
      </c>
      <c r="G37" s="34">
        <v>1</v>
      </c>
      <c r="H37" s="39">
        <v>1</v>
      </c>
      <c r="I37" s="30">
        <v>122.5</v>
      </c>
      <c r="J37" s="35">
        <f t="shared" si="1"/>
        <v>122.5</v>
      </c>
    </row>
    <row r="38" spans="1:10" ht="28" customHeight="1" x14ac:dyDescent="0.35">
      <c r="A38" s="29" t="s">
        <v>115</v>
      </c>
      <c r="B38" s="30">
        <v>2026</v>
      </c>
      <c r="C38" s="37">
        <v>1307787</v>
      </c>
      <c r="D38" s="32" t="s">
        <v>132</v>
      </c>
      <c r="E38" s="32" t="s">
        <v>141</v>
      </c>
      <c r="F38" s="38" t="s">
        <v>56</v>
      </c>
      <c r="G38" s="34">
        <v>1</v>
      </c>
      <c r="H38" s="39">
        <v>1</v>
      </c>
      <c r="I38" s="30">
        <v>122.5</v>
      </c>
      <c r="J38" s="35">
        <f t="shared" si="1"/>
        <v>122.5</v>
      </c>
    </row>
    <row r="39" spans="1:10" ht="28" customHeight="1" x14ac:dyDescent="0.35">
      <c r="A39" s="29" t="s">
        <v>115</v>
      </c>
      <c r="B39" s="30">
        <v>2026</v>
      </c>
      <c r="C39" s="37">
        <v>1307769</v>
      </c>
      <c r="D39" s="32" t="s">
        <v>133</v>
      </c>
      <c r="E39" s="32" t="s">
        <v>145</v>
      </c>
      <c r="F39" s="38" t="s">
        <v>55</v>
      </c>
      <c r="G39" s="34">
        <v>1</v>
      </c>
      <c r="H39" s="39">
        <v>1</v>
      </c>
      <c r="I39" s="30">
        <v>122.5</v>
      </c>
      <c r="J39" s="35">
        <f t="shared" si="1"/>
        <v>122.5</v>
      </c>
    </row>
    <row r="40" spans="1:10" ht="28" customHeight="1" x14ac:dyDescent="0.35">
      <c r="A40" s="29" t="s">
        <v>115</v>
      </c>
      <c r="B40" s="30">
        <v>2026</v>
      </c>
      <c r="C40" s="37">
        <v>1307770</v>
      </c>
      <c r="D40" s="32" t="s">
        <v>133</v>
      </c>
      <c r="E40" s="32" t="s">
        <v>146</v>
      </c>
      <c r="F40" s="38" t="s">
        <v>56</v>
      </c>
      <c r="G40" s="34">
        <v>1</v>
      </c>
      <c r="H40" s="39">
        <v>1</v>
      </c>
      <c r="I40" s="30">
        <v>122.5</v>
      </c>
      <c r="J40" s="35">
        <f t="shared" si="1"/>
        <v>122.5</v>
      </c>
    </row>
    <row r="41" spans="1:10" ht="28" customHeight="1" x14ac:dyDescent="0.35">
      <c r="A41" s="29" t="s">
        <v>115</v>
      </c>
      <c r="B41" s="30">
        <v>2026</v>
      </c>
      <c r="C41" s="37">
        <v>1307562</v>
      </c>
      <c r="D41" s="41" t="s">
        <v>134</v>
      </c>
      <c r="E41" s="41" t="s">
        <v>147</v>
      </c>
      <c r="F41" s="38" t="s">
        <v>53</v>
      </c>
      <c r="G41" s="34">
        <v>1</v>
      </c>
      <c r="H41" s="39">
        <v>12</v>
      </c>
      <c r="I41" s="30">
        <v>126</v>
      </c>
      <c r="J41" s="35">
        <f t="shared" si="1"/>
        <v>1512</v>
      </c>
    </row>
    <row r="42" spans="1:10" ht="28" customHeight="1" x14ac:dyDescent="0.35">
      <c r="A42" s="50" t="s">
        <v>148</v>
      </c>
      <c r="B42" s="51">
        <v>2026</v>
      </c>
      <c r="C42" s="52" t="s">
        <v>149</v>
      </c>
      <c r="D42" s="53" t="s">
        <v>152</v>
      </c>
      <c r="E42" s="53" t="s">
        <v>48</v>
      </c>
      <c r="F42" s="54" t="s">
        <v>54</v>
      </c>
      <c r="G42" s="55">
        <v>1</v>
      </c>
      <c r="H42" s="51">
        <v>2</v>
      </c>
      <c r="I42" s="51">
        <v>112</v>
      </c>
      <c r="J42" s="56">
        <f t="shared" si="1"/>
        <v>224</v>
      </c>
    </row>
    <row r="43" spans="1:10" ht="28" customHeight="1" x14ac:dyDescent="0.35">
      <c r="A43" s="50" t="s">
        <v>148</v>
      </c>
      <c r="B43" s="51">
        <v>2026</v>
      </c>
      <c r="C43" s="52" t="s">
        <v>150</v>
      </c>
      <c r="D43" s="53" t="s">
        <v>153</v>
      </c>
      <c r="E43" s="53" t="s">
        <v>48</v>
      </c>
      <c r="F43" s="54" t="s">
        <v>54</v>
      </c>
      <c r="G43" s="55">
        <v>1</v>
      </c>
      <c r="H43" s="51">
        <v>2</v>
      </c>
      <c r="I43" s="51">
        <v>112</v>
      </c>
      <c r="J43" s="56">
        <f t="shared" si="1"/>
        <v>224</v>
      </c>
    </row>
    <row r="44" spans="1:10" ht="28" customHeight="1" x14ac:dyDescent="0.35">
      <c r="A44" s="50" t="s">
        <v>148</v>
      </c>
      <c r="B44" s="51">
        <v>2026</v>
      </c>
      <c r="C44" s="52">
        <v>1307778</v>
      </c>
      <c r="D44" s="53" t="s">
        <v>154</v>
      </c>
      <c r="E44" s="53" t="s">
        <v>90</v>
      </c>
      <c r="F44" s="54" t="s">
        <v>57</v>
      </c>
      <c r="G44" s="55">
        <v>1</v>
      </c>
      <c r="H44" s="51">
        <v>3</v>
      </c>
      <c r="I44" s="51">
        <v>145</v>
      </c>
      <c r="J44" s="56">
        <f t="shared" si="1"/>
        <v>435</v>
      </c>
    </row>
    <row r="45" spans="1:10" ht="28" customHeight="1" x14ac:dyDescent="0.35">
      <c r="A45" s="50" t="s">
        <v>148</v>
      </c>
      <c r="B45" s="51">
        <v>2026</v>
      </c>
      <c r="C45" s="52">
        <v>1307807</v>
      </c>
      <c r="D45" s="53" t="s">
        <v>153</v>
      </c>
      <c r="E45" s="53" t="s">
        <v>90</v>
      </c>
      <c r="F45" s="54" t="s">
        <v>57</v>
      </c>
      <c r="G45" s="55">
        <v>1</v>
      </c>
      <c r="H45" s="51">
        <v>1</v>
      </c>
      <c r="I45" s="51">
        <v>145</v>
      </c>
      <c r="J45" s="56">
        <f t="shared" si="1"/>
        <v>145</v>
      </c>
    </row>
    <row r="46" spans="1:10" ht="28" customHeight="1" x14ac:dyDescent="0.35">
      <c r="A46" s="50" t="s">
        <v>148</v>
      </c>
      <c r="B46" s="51">
        <v>2026</v>
      </c>
      <c r="C46" s="52">
        <v>1307835</v>
      </c>
      <c r="D46" s="53" t="s">
        <v>155</v>
      </c>
      <c r="E46" s="53" t="s">
        <v>90</v>
      </c>
      <c r="F46" s="54" t="s">
        <v>57</v>
      </c>
      <c r="G46" s="55">
        <v>1</v>
      </c>
      <c r="H46" s="51">
        <v>1</v>
      </c>
      <c r="I46" s="51">
        <v>145</v>
      </c>
      <c r="J46" s="56">
        <f t="shared" si="1"/>
        <v>145</v>
      </c>
    </row>
    <row r="47" spans="1:10" ht="28" customHeight="1" x14ac:dyDescent="0.35">
      <c r="A47" s="50" t="s">
        <v>148</v>
      </c>
      <c r="B47" s="51">
        <v>2026</v>
      </c>
      <c r="C47" s="52">
        <v>1307706</v>
      </c>
      <c r="D47" s="53" t="s">
        <v>156</v>
      </c>
      <c r="E47" s="53" t="s">
        <v>159</v>
      </c>
      <c r="F47" s="54" t="s">
        <v>58</v>
      </c>
      <c r="G47" s="55">
        <v>1</v>
      </c>
      <c r="H47" s="51">
        <v>1</v>
      </c>
      <c r="I47" s="51">
        <v>127</v>
      </c>
      <c r="J47" s="56">
        <f t="shared" si="1"/>
        <v>127</v>
      </c>
    </row>
    <row r="48" spans="1:10" ht="28" customHeight="1" x14ac:dyDescent="0.35">
      <c r="A48" s="50" t="s">
        <v>148</v>
      </c>
      <c r="B48" s="51">
        <v>2026</v>
      </c>
      <c r="C48" s="52">
        <v>1307788</v>
      </c>
      <c r="D48" s="53" t="s">
        <v>157</v>
      </c>
      <c r="E48" s="53" t="s">
        <v>83</v>
      </c>
      <c r="F48" s="54" t="s">
        <v>55</v>
      </c>
      <c r="G48" s="55">
        <v>1</v>
      </c>
      <c r="H48" s="51">
        <v>1</v>
      </c>
      <c r="I48" s="51">
        <v>122.5</v>
      </c>
      <c r="J48" s="56">
        <f t="shared" si="1"/>
        <v>122.5</v>
      </c>
    </row>
    <row r="49" spans="1:10" ht="28" customHeight="1" x14ac:dyDescent="0.35">
      <c r="A49" s="50" t="s">
        <v>148</v>
      </c>
      <c r="B49" s="51">
        <v>2026</v>
      </c>
      <c r="C49" s="52">
        <v>1307763</v>
      </c>
      <c r="D49" s="53" t="s">
        <v>130</v>
      </c>
      <c r="E49" s="53" t="s">
        <v>160</v>
      </c>
      <c r="F49" s="54" t="s">
        <v>58</v>
      </c>
      <c r="G49" s="55">
        <v>1</v>
      </c>
      <c r="H49" s="51">
        <v>2</v>
      </c>
      <c r="I49" s="51">
        <v>127</v>
      </c>
      <c r="J49" s="56">
        <f t="shared" si="1"/>
        <v>254</v>
      </c>
    </row>
    <row r="50" spans="1:10" ht="28" customHeight="1" x14ac:dyDescent="0.35">
      <c r="A50" s="50" t="s">
        <v>148</v>
      </c>
      <c r="B50" s="51">
        <v>2026</v>
      </c>
      <c r="C50" s="52">
        <v>1307700</v>
      </c>
      <c r="D50" s="53" t="s">
        <v>158</v>
      </c>
      <c r="E50" s="53" t="s">
        <v>161</v>
      </c>
      <c r="F50" s="54" t="s">
        <v>55</v>
      </c>
      <c r="G50" s="55">
        <v>1</v>
      </c>
      <c r="H50" s="51">
        <v>7</v>
      </c>
      <c r="I50" s="51">
        <v>122.5</v>
      </c>
      <c r="J50" s="56">
        <f t="shared" si="1"/>
        <v>857.5</v>
      </c>
    </row>
    <row r="51" spans="1:10" ht="28" customHeight="1" x14ac:dyDescent="0.35">
      <c r="A51" s="50" t="s">
        <v>148</v>
      </c>
      <c r="B51" s="51">
        <v>2026</v>
      </c>
      <c r="C51" s="52">
        <v>1307701</v>
      </c>
      <c r="D51" s="53" t="s">
        <v>158</v>
      </c>
      <c r="E51" s="53" t="s">
        <v>111</v>
      </c>
      <c r="F51" s="54" t="s">
        <v>55</v>
      </c>
      <c r="G51" s="55">
        <v>1</v>
      </c>
      <c r="H51" s="51">
        <v>4</v>
      </c>
      <c r="I51" s="51">
        <v>122.5</v>
      </c>
      <c r="J51" s="56">
        <f t="shared" si="1"/>
        <v>490</v>
      </c>
    </row>
    <row r="52" spans="1:10" ht="28" customHeight="1" x14ac:dyDescent="0.35">
      <c r="A52" s="50" t="s">
        <v>148</v>
      </c>
      <c r="B52" s="51">
        <v>2026</v>
      </c>
      <c r="C52" s="52">
        <v>1307699</v>
      </c>
      <c r="D52" s="53" t="s">
        <v>158</v>
      </c>
      <c r="E52" s="53" t="s">
        <v>88</v>
      </c>
      <c r="F52" s="54" t="s">
        <v>56</v>
      </c>
      <c r="G52" s="55">
        <v>1</v>
      </c>
      <c r="H52" s="51">
        <v>11</v>
      </c>
      <c r="I52" s="51">
        <v>122.5</v>
      </c>
      <c r="J52" s="56">
        <f t="shared" si="1"/>
        <v>1347.5</v>
      </c>
    </row>
    <row r="53" spans="1:10" ht="28" customHeight="1" x14ac:dyDescent="0.35">
      <c r="A53" s="57" t="s">
        <v>151</v>
      </c>
      <c r="B53" s="58">
        <v>2026</v>
      </c>
      <c r="C53" s="59">
        <v>1307285</v>
      </c>
      <c r="D53" s="60" t="s">
        <v>164</v>
      </c>
      <c r="E53" s="60" t="s">
        <v>48</v>
      </c>
      <c r="F53" s="61" t="s">
        <v>54</v>
      </c>
      <c r="G53" s="62">
        <v>1</v>
      </c>
      <c r="H53" s="58">
        <v>1</v>
      </c>
      <c r="I53" s="58">
        <v>112</v>
      </c>
      <c r="J53" s="63">
        <f t="shared" si="1"/>
        <v>112</v>
      </c>
    </row>
    <row r="54" spans="1:10" ht="28" customHeight="1" x14ac:dyDescent="0.35">
      <c r="A54" s="57" t="s">
        <v>151</v>
      </c>
      <c r="B54" s="58">
        <v>2026</v>
      </c>
      <c r="C54" s="59" t="s">
        <v>162</v>
      </c>
      <c r="D54" s="60" t="s">
        <v>165</v>
      </c>
      <c r="E54" s="60" t="s">
        <v>48</v>
      </c>
      <c r="F54" s="61" t="s">
        <v>54</v>
      </c>
      <c r="G54" s="62">
        <v>1</v>
      </c>
      <c r="H54" s="58">
        <v>2</v>
      </c>
      <c r="I54" s="58">
        <v>112</v>
      </c>
      <c r="J54" s="63">
        <f t="shared" si="1"/>
        <v>224</v>
      </c>
    </row>
    <row r="55" spans="1:10" ht="28" customHeight="1" x14ac:dyDescent="0.35">
      <c r="A55" s="57" t="s">
        <v>151</v>
      </c>
      <c r="B55" s="58">
        <v>2026</v>
      </c>
      <c r="C55" s="59">
        <v>1307827</v>
      </c>
      <c r="D55" s="60" t="s">
        <v>166</v>
      </c>
      <c r="E55" s="60" t="s">
        <v>48</v>
      </c>
      <c r="F55" s="61" t="s">
        <v>54</v>
      </c>
      <c r="G55" s="62">
        <v>1</v>
      </c>
      <c r="H55" s="58">
        <v>1</v>
      </c>
      <c r="I55" s="58">
        <v>112</v>
      </c>
      <c r="J55" s="63">
        <f t="shared" si="1"/>
        <v>112</v>
      </c>
    </row>
    <row r="56" spans="1:10" ht="28" customHeight="1" x14ac:dyDescent="0.35">
      <c r="A56" s="57" t="s">
        <v>151</v>
      </c>
      <c r="B56" s="58">
        <v>2026</v>
      </c>
      <c r="C56" s="59" t="s">
        <v>163</v>
      </c>
      <c r="D56" s="60" t="s">
        <v>167</v>
      </c>
      <c r="E56" s="60" t="s">
        <v>48</v>
      </c>
      <c r="F56" s="61" t="s">
        <v>54</v>
      </c>
      <c r="G56" s="62">
        <v>1</v>
      </c>
      <c r="H56" s="58">
        <v>2</v>
      </c>
      <c r="I56" s="58">
        <v>112</v>
      </c>
      <c r="J56" s="63">
        <f t="shared" si="1"/>
        <v>224</v>
      </c>
    </row>
    <row r="57" spans="1:10" ht="28" customHeight="1" x14ac:dyDescent="0.35">
      <c r="A57" s="57" t="s">
        <v>151</v>
      </c>
      <c r="B57" s="58">
        <v>2026</v>
      </c>
      <c r="C57" s="59">
        <v>1307860</v>
      </c>
      <c r="D57" s="60" t="s">
        <v>168</v>
      </c>
      <c r="E57" s="60" t="s">
        <v>48</v>
      </c>
      <c r="F57" s="61" t="s">
        <v>54</v>
      </c>
      <c r="G57" s="62">
        <v>1</v>
      </c>
      <c r="H57" s="58">
        <v>1</v>
      </c>
      <c r="I57" s="58">
        <v>112</v>
      </c>
      <c r="J57" s="63">
        <f t="shared" si="1"/>
        <v>112</v>
      </c>
    </row>
    <row r="58" spans="1:10" ht="28" customHeight="1" x14ac:dyDescent="0.35">
      <c r="A58" s="57" t="s">
        <v>151</v>
      </c>
      <c r="B58" s="58">
        <v>2026</v>
      </c>
      <c r="C58" s="59">
        <v>1307752</v>
      </c>
      <c r="D58" s="60" t="s">
        <v>167</v>
      </c>
      <c r="E58" s="60" t="s">
        <v>90</v>
      </c>
      <c r="F58" s="61" t="s">
        <v>57</v>
      </c>
      <c r="G58" s="62">
        <v>1</v>
      </c>
      <c r="H58" s="58">
        <v>1</v>
      </c>
      <c r="I58" s="58">
        <v>145</v>
      </c>
      <c r="J58" s="63">
        <f t="shared" si="1"/>
        <v>145</v>
      </c>
    </row>
    <row r="59" spans="1:10" ht="28" customHeight="1" x14ac:dyDescent="0.35">
      <c r="A59" s="57" t="s">
        <v>151</v>
      </c>
      <c r="B59" s="58">
        <v>2026</v>
      </c>
      <c r="C59" s="59">
        <v>1307826</v>
      </c>
      <c r="D59" s="60" t="s">
        <v>169</v>
      </c>
      <c r="E59" s="60" t="s">
        <v>90</v>
      </c>
      <c r="F59" s="61" t="s">
        <v>57</v>
      </c>
      <c r="G59" s="62">
        <v>1</v>
      </c>
      <c r="H59" s="58">
        <v>1</v>
      </c>
      <c r="I59" s="58">
        <v>145</v>
      </c>
      <c r="J59" s="63">
        <f t="shared" si="1"/>
        <v>145</v>
      </c>
    </row>
    <row r="60" spans="1:10" ht="28" customHeight="1" x14ac:dyDescent="0.35">
      <c r="A60" s="57" t="s">
        <v>151</v>
      </c>
      <c r="B60" s="58">
        <v>2026</v>
      </c>
      <c r="C60" s="59">
        <v>1307600</v>
      </c>
      <c r="D60" s="60" t="s">
        <v>170</v>
      </c>
      <c r="E60" s="60" t="s">
        <v>90</v>
      </c>
      <c r="F60" s="61" t="s">
        <v>57</v>
      </c>
      <c r="G60" s="62">
        <v>1</v>
      </c>
      <c r="H60" s="58">
        <v>1</v>
      </c>
      <c r="I60" s="58">
        <v>145</v>
      </c>
      <c r="J60" s="63">
        <f t="shared" si="1"/>
        <v>145</v>
      </c>
    </row>
    <row r="61" spans="1:10" ht="28" customHeight="1" x14ac:dyDescent="0.35">
      <c r="A61" s="57" t="s">
        <v>151</v>
      </c>
      <c r="B61" s="58">
        <v>2026</v>
      </c>
      <c r="C61" s="59">
        <v>1307730</v>
      </c>
      <c r="D61" s="60" t="s">
        <v>171</v>
      </c>
      <c r="E61" s="60" t="s">
        <v>159</v>
      </c>
      <c r="F61" s="61" t="s">
        <v>58</v>
      </c>
      <c r="G61" s="62">
        <v>1</v>
      </c>
      <c r="H61" s="58">
        <v>3</v>
      </c>
      <c r="I61" s="58">
        <v>127</v>
      </c>
      <c r="J61" s="63">
        <f t="shared" si="1"/>
        <v>381</v>
      </c>
    </row>
    <row r="62" spans="1:10" ht="28" customHeight="1" x14ac:dyDescent="0.35">
      <c r="A62" s="57" t="s">
        <v>151</v>
      </c>
      <c r="B62" s="58">
        <v>2026</v>
      </c>
      <c r="C62" s="59">
        <v>1307767</v>
      </c>
      <c r="D62" s="60" t="s">
        <v>171</v>
      </c>
      <c r="E62" s="60" t="s">
        <v>159</v>
      </c>
      <c r="F62" s="61" t="s">
        <v>58</v>
      </c>
      <c r="G62" s="62">
        <v>1</v>
      </c>
      <c r="H62" s="58">
        <v>1</v>
      </c>
      <c r="I62" s="58">
        <v>127</v>
      </c>
      <c r="J62" s="63">
        <f t="shared" si="1"/>
        <v>127</v>
      </c>
    </row>
    <row r="63" spans="1:10" ht="28" customHeight="1" x14ac:dyDescent="0.35">
      <c r="A63" s="57" t="s">
        <v>151</v>
      </c>
      <c r="B63" s="58">
        <v>2026</v>
      </c>
      <c r="C63" s="59">
        <v>1307764</v>
      </c>
      <c r="D63" s="60" t="s">
        <v>172</v>
      </c>
      <c r="E63" s="60" t="s">
        <v>176</v>
      </c>
      <c r="F63" s="61" t="s">
        <v>58</v>
      </c>
      <c r="G63" s="62">
        <v>1</v>
      </c>
      <c r="H63" s="58">
        <v>4</v>
      </c>
      <c r="I63" s="58">
        <v>127</v>
      </c>
      <c r="J63" s="63">
        <f t="shared" si="1"/>
        <v>508</v>
      </c>
    </row>
    <row r="64" spans="1:10" ht="28" customHeight="1" x14ac:dyDescent="0.35">
      <c r="A64" s="57" t="s">
        <v>151</v>
      </c>
      <c r="B64" s="58">
        <v>2026</v>
      </c>
      <c r="C64" s="59">
        <v>1307841</v>
      </c>
      <c r="D64" s="60" t="s">
        <v>173</v>
      </c>
      <c r="E64" s="60" t="s">
        <v>177</v>
      </c>
      <c r="F64" s="61" t="s">
        <v>58</v>
      </c>
      <c r="G64" s="62">
        <v>1</v>
      </c>
      <c r="H64" s="58">
        <v>1</v>
      </c>
      <c r="I64" s="58">
        <v>127</v>
      </c>
      <c r="J64" s="63">
        <f t="shared" si="1"/>
        <v>127</v>
      </c>
    </row>
    <row r="65" spans="1:10" ht="28" customHeight="1" x14ac:dyDescent="0.35">
      <c r="A65" s="57" t="s">
        <v>151</v>
      </c>
      <c r="B65" s="58">
        <v>2026</v>
      </c>
      <c r="C65" s="59">
        <v>1307846</v>
      </c>
      <c r="D65" s="60" t="s">
        <v>174</v>
      </c>
      <c r="E65" s="60" t="s">
        <v>83</v>
      </c>
      <c r="F65" s="61" t="s">
        <v>58</v>
      </c>
      <c r="G65" s="62">
        <v>1</v>
      </c>
      <c r="H65" s="58">
        <v>1</v>
      </c>
      <c r="I65" s="58">
        <v>127</v>
      </c>
      <c r="J65" s="63">
        <f t="shared" si="1"/>
        <v>127</v>
      </c>
    </row>
    <row r="66" spans="1:10" ht="28" customHeight="1" x14ac:dyDescent="0.35">
      <c r="A66" s="57" t="s">
        <v>151</v>
      </c>
      <c r="B66" s="58">
        <v>2026</v>
      </c>
      <c r="C66" s="59">
        <v>1307845</v>
      </c>
      <c r="D66" s="60" t="s">
        <v>174</v>
      </c>
      <c r="E66" s="60" t="s">
        <v>176</v>
      </c>
      <c r="F66" s="61" t="s">
        <v>58</v>
      </c>
      <c r="G66" s="62">
        <v>1</v>
      </c>
      <c r="H66" s="58">
        <v>5</v>
      </c>
      <c r="I66" s="58">
        <v>127</v>
      </c>
      <c r="J66" s="63">
        <f t="shared" si="1"/>
        <v>635</v>
      </c>
    </row>
    <row r="67" spans="1:10" ht="28" customHeight="1" x14ac:dyDescent="0.35">
      <c r="A67" s="57" t="s">
        <v>151</v>
      </c>
      <c r="B67" s="58">
        <v>2026</v>
      </c>
      <c r="C67" s="59" t="s">
        <v>119</v>
      </c>
      <c r="D67" s="60" t="s">
        <v>127</v>
      </c>
      <c r="E67" s="60" t="s">
        <v>140</v>
      </c>
      <c r="F67" s="61" t="s">
        <v>58</v>
      </c>
      <c r="G67" s="62">
        <v>1</v>
      </c>
      <c r="H67" s="58">
        <v>5</v>
      </c>
      <c r="I67" s="58">
        <v>127</v>
      </c>
      <c r="J67" s="63">
        <f t="shared" si="1"/>
        <v>635</v>
      </c>
    </row>
    <row r="68" spans="1:10" ht="28" customHeight="1" x14ac:dyDescent="0.35">
      <c r="A68" s="57" t="s">
        <v>151</v>
      </c>
      <c r="B68" s="58">
        <v>2026</v>
      </c>
      <c r="C68" s="59">
        <v>1307335</v>
      </c>
      <c r="D68" s="60" t="s">
        <v>175</v>
      </c>
      <c r="E68" s="60" t="s">
        <v>161</v>
      </c>
      <c r="F68" s="61" t="s">
        <v>55</v>
      </c>
      <c r="G68" s="62">
        <v>1</v>
      </c>
      <c r="H68" s="58">
        <v>1</v>
      </c>
      <c r="I68" s="58">
        <v>122.5</v>
      </c>
      <c r="J68" s="63">
        <f t="shared" si="1"/>
        <v>122.5</v>
      </c>
    </row>
    <row r="69" spans="1:10" ht="28" customHeight="1" x14ac:dyDescent="0.35">
      <c r="A69" s="57" t="s">
        <v>151</v>
      </c>
      <c r="B69" s="58">
        <v>2026</v>
      </c>
      <c r="C69" s="59">
        <v>1307336</v>
      </c>
      <c r="D69" s="60" t="s">
        <v>175</v>
      </c>
      <c r="E69" s="60" t="s">
        <v>89</v>
      </c>
      <c r="F69" s="61" t="s">
        <v>56</v>
      </c>
      <c r="G69" s="62">
        <v>1</v>
      </c>
      <c r="H69" s="58">
        <v>2</v>
      </c>
      <c r="I69" s="58">
        <v>122.5</v>
      </c>
      <c r="J69" s="63">
        <f t="shared" si="1"/>
        <v>245</v>
      </c>
    </row>
    <row r="70" spans="1:10" ht="28" customHeight="1" x14ac:dyDescent="0.35">
      <c r="A70" s="57" t="s">
        <v>151</v>
      </c>
      <c r="B70" s="58">
        <v>2026</v>
      </c>
      <c r="C70" s="59">
        <v>1307334</v>
      </c>
      <c r="D70" s="60" t="s">
        <v>175</v>
      </c>
      <c r="E70" s="60" t="s">
        <v>88</v>
      </c>
      <c r="F70" s="61" t="s">
        <v>56</v>
      </c>
      <c r="G70" s="62">
        <v>1</v>
      </c>
      <c r="H70" s="58">
        <v>4</v>
      </c>
      <c r="I70" s="58">
        <v>122.5</v>
      </c>
      <c r="J70" s="63">
        <f t="shared" si="0"/>
        <v>490</v>
      </c>
    </row>
    <row r="71" spans="1:10" ht="28" customHeight="1" x14ac:dyDescent="0.35">
      <c r="A71" s="57" t="s">
        <v>151</v>
      </c>
      <c r="B71" s="58">
        <v>2026</v>
      </c>
      <c r="C71" s="59">
        <v>1307699</v>
      </c>
      <c r="D71" s="60" t="s">
        <v>158</v>
      </c>
      <c r="E71" s="60" t="s">
        <v>88</v>
      </c>
      <c r="F71" s="61" t="s">
        <v>56</v>
      </c>
      <c r="G71" s="62">
        <v>1</v>
      </c>
      <c r="H71" s="58">
        <v>12</v>
      </c>
      <c r="I71" s="58">
        <v>122.5</v>
      </c>
      <c r="J71" s="63">
        <f t="shared" si="0"/>
        <v>1470</v>
      </c>
    </row>
    <row r="72" spans="1:10" ht="28" customHeight="1" x14ac:dyDescent="0.35">
      <c r="A72" s="15" t="s">
        <v>178</v>
      </c>
      <c r="B72" s="16">
        <v>2026</v>
      </c>
      <c r="C72" s="36">
        <v>1307894</v>
      </c>
      <c r="D72" s="18" t="s">
        <v>181</v>
      </c>
      <c r="E72" s="42" t="s">
        <v>48</v>
      </c>
      <c r="F72" s="19" t="s">
        <v>54</v>
      </c>
      <c r="G72" s="20">
        <v>1</v>
      </c>
      <c r="H72" s="16">
        <v>2</v>
      </c>
      <c r="I72" s="16">
        <v>112</v>
      </c>
      <c r="J72" s="21">
        <f t="shared" ref="J72:J86" si="2">H72*I72</f>
        <v>224</v>
      </c>
    </row>
    <row r="73" spans="1:10" ht="28" customHeight="1" x14ac:dyDescent="0.35">
      <c r="A73" s="15" t="s">
        <v>178</v>
      </c>
      <c r="B73" s="16">
        <v>2026</v>
      </c>
      <c r="C73" s="36">
        <v>1307886</v>
      </c>
      <c r="D73" s="18" t="s">
        <v>182</v>
      </c>
      <c r="E73" s="42" t="s">
        <v>48</v>
      </c>
      <c r="F73" s="19" t="s">
        <v>54</v>
      </c>
      <c r="G73" s="20">
        <v>1</v>
      </c>
      <c r="H73" s="16">
        <v>1</v>
      </c>
      <c r="I73" s="16">
        <v>112</v>
      </c>
      <c r="J73" s="21">
        <f t="shared" si="2"/>
        <v>112</v>
      </c>
    </row>
    <row r="74" spans="1:10" ht="28" customHeight="1" x14ac:dyDescent="0.35">
      <c r="A74" s="15" t="s">
        <v>178</v>
      </c>
      <c r="B74" s="16">
        <v>2026</v>
      </c>
      <c r="C74" s="36" t="s">
        <v>179</v>
      </c>
      <c r="D74" s="18" t="s">
        <v>183</v>
      </c>
      <c r="E74" s="42" t="s">
        <v>48</v>
      </c>
      <c r="F74" s="19" t="s">
        <v>54</v>
      </c>
      <c r="G74" s="20">
        <v>1</v>
      </c>
      <c r="H74" s="16">
        <v>3</v>
      </c>
      <c r="I74" s="16">
        <v>112</v>
      </c>
      <c r="J74" s="21">
        <f t="shared" si="2"/>
        <v>336</v>
      </c>
    </row>
    <row r="75" spans="1:10" ht="28" customHeight="1" x14ac:dyDescent="0.35">
      <c r="A75" s="15" t="s">
        <v>178</v>
      </c>
      <c r="B75" s="16">
        <v>2026</v>
      </c>
      <c r="C75" s="36" t="s">
        <v>180</v>
      </c>
      <c r="D75" s="18" t="s">
        <v>184</v>
      </c>
      <c r="E75" s="42" t="s">
        <v>48</v>
      </c>
      <c r="F75" s="19" t="s">
        <v>54</v>
      </c>
      <c r="G75" s="20">
        <v>1</v>
      </c>
      <c r="H75" s="16">
        <v>2</v>
      </c>
      <c r="I75" s="16">
        <v>112</v>
      </c>
      <c r="J75" s="21">
        <f t="shared" si="2"/>
        <v>224</v>
      </c>
    </row>
    <row r="76" spans="1:10" ht="28" customHeight="1" x14ac:dyDescent="0.35">
      <c r="A76" s="15" t="s">
        <v>178</v>
      </c>
      <c r="B76" s="16">
        <v>2026</v>
      </c>
      <c r="C76" s="36">
        <v>1307909</v>
      </c>
      <c r="D76" s="18" t="s">
        <v>184</v>
      </c>
      <c r="E76" s="42" t="s">
        <v>48</v>
      </c>
      <c r="F76" s="19" t="s">
        <v>54</v>
      </c>
      <c r="G76" s="20">
        <v>1</v>
      </c>
      <c r="H76" s="16">
        <v>2</v>
      </c>
      <c r="I76" s="16">
        <v>112</v>
      </c>
      <c r="J76" s="21">
        <f t="shared" si="2"/>
        <v>224</v>
      </c>
    </row>
    <row r="77" spans="1:10" ht="28" customHeight="1" x14ac:dyDescent="0.35">
      <c r="A77" s="15" t="s">
        <v>178</v>
      </c>
      <c r="B77" s="16">
        <v>2026</v>
      </c>
      <c r="C77" s="36">
        <v>1307907</v>
      </c>
      <c r="D77" s="18" t="s">
        <v>184</v>
      </c>
      <c r="E77" s="42" t="s">
        <v>90</v>
      </c>
      <c r="F77" s="19" t="s">
        <v>57</v>
      </c>
      <c r="G77" s="20">
        <v>1</v>
      </c>
      <c r="H77" s="16">
        <v>1</v>
      </c>
      <c r="I77" s="16">
        <v>145</v>
      </c>
      <c r="J77" s="21">
        <f t="shared" si="2"/>
        <v>145</v>
      </c>
    </row>
    <row r="78" spans="1:10" ht="28" customHeight="1" x14ac:dyDescent="0.35">
      <c r="A78" s="15" t="s">
        <v>178</v>
      </c>
      <c r="B78" s="16">
        <v>2026</v>
      </c>
      <c r="C78" s="36">
        <v>1307870</v>
      </c>
      <c r="D78" s="18" t="s">
        <v>183</v>
      </c>
      <c r="E78" s="42" t="s">
        <v>90</v>
      </c>
      <c r="F78" s="19" t="s">
        <v>57</v>
      </c>
      <c r="G78" s="20">
        <v>1</v>
      </c>
      <c r="H78" s="16">
        <v>1</v>
      </c>
      <c r="I78" s="16">
        <v>145</v>
      </c>
      <c r="J78" s="21">
        <f t="shared" si="2"/>
        <v>145</v>
      </c>
    </row>
    <row r="79" spans="1:10" ht="28" customHeight="1" x14ac:dyDescent="0.35">
      <c r="A79" s="15" t="s">
        <v>178</v>
      </c>
      <c r="B79" s="16">
        <v>2026</v>
      </c>
      <c r="C79" s="36">
        <v>1307895</v>
      </c>
      <c r="D79" s="18" t="s">
        <v>185</v>
      </c>
      <c r="E79" s="42" t="s">
        <v>90</v>
      </c>
      <c r="F79" s="19" t="s">
        <v>57</v>
      </c>
      <c r="G79" s="20">
        <v>1</v>
      </c>
      <c r="H79" s="16">
        <v>1</v>
      </c>
      <c r="I79" s="16">
        <v>145</v>
      </c>
      <c r="J79" s="21">
        <f t="shared" si="2"/>
        <v>145</v>
      </c>
    </row>
    <row r="80" spans="1:10" ht="28" customHeight="1" x14ac:dyDescent="0.35">
      <c r="A80" s="15" t="s">
        <v>178</v>
      </c>
      <c r="B80" s="16">
        <v>2026</v>
      </c>
      <c r="C80" s="36">
        <v>1307699</v>
      </c>
      <c r="D80" s="18" t="s">
        <v>158</v>
      </c>
      <c r="E80" s="42" t="s">
        <v>88</v>
      </c>
      <c r="F80" s="19" t="s">
        <v>56</v>
      </c>
      <c r="G80" s="20">
        <v>1</v>
      </c>
      <c r="H80" s="16">
        <v>11</v>
      </c>
      <c r="I80" s="16">
        <v>122.5</v>
      </c>
      <c r="J80" s="21">
        <f t="shared" si="2"/>
        <v>1347.5</v>
      </c>
    </row>
    <row r="81" spans="1:10" ht="28" customHeight="1" x14ac:dyDescent="0.35">
      <c r="A81" s="15" t="s">
        <v>178</v>
      </c>
      <c r="B81" s="16">
        <v>2026</v>
      </c>
      <c r="C81" s="36">
        <v>1307912</v>
      </c>
      <c r="D81" s="18" t="s">
        <v>186</v>
      </c>
      <c r="E81" s="42" t="s">
        <v>88</v>
      </c>
      <c r="F81" s="19" t="s">
        <v>56</v>
      </c>
      <c r="G81" s="20">
        <v>1</v>
      </c>
      <c r="H81" s="16">
        <v>1</v>
      </c>
      <c r="I81" s="16">
        <v>122.5</v>
      </c>
      <c r="J81" s="21">
        <f t="shared" si="2"/>
        <v>122.5</v>
      </c>
    </row>
    <row r="82" spans="1:10" ht="28" customHeight="1" x14ac:dyDescent="0.35">
      <c r="A82" s="15" t="s">
        <v>178</v>
      </c>
      <c r="B82" s="16">
        <v>2026</v>
      </c>
      <c r="C82" s="36">
        <v>1307911</v>
      </c>
      <c r="D82" s="18" t="s">
        <v>186</v>
      </c>
      <c r="E82" s="42" t="s">
        <v>190</v>
      </c>
      <c r="F82" s="19" t="s">
        <v>55</v>
      </c>
      <c r="G82" s="20">
        <v>1</v>
      </c>
      <c r="H82" s="16">
        <v>1</v>
      </c>
      <c r="I82" s="16">
        <v>122.5</v>
      </c>
      <c r="J82" s="21">
        <f t="shared" si="2"/>
        <v>122.5</v>
      </c>
    </row>
    <row r="83" spans="1:10" ht="28" customHeight="1" x14ac:dyDescent="0.35">
      <c r="A83" s="15" t="s">
        <v>178</v>
      </c>
      <c r="B83" s="16">
        <v>2026</v>
      </c>
      <c r="C83" s="36">
        <v>1307842</v>
      </c>
      <c r="D83" s="18" t="s">
        <v>187</v>
      </c>
      <c r="E83" s="42" t="s">
        <v>88</v>
      </c>
      <c r="F83" s="19" t="s">
        <v>56</v>
      </c>
      <c r="G83" s="20">
        <v>1</v>
      </c>
      <c r="H83" s="16">
        <v>4</v>
      </c>
      <c r="I83" s="16">
        <v>122.5</v>
      </c>
      <c r="J83" s="21">
        <f t="shared" si="2"/>
        <v>490</v>
      </c>
    </row>
    <row r="84" spans="1:10" ht="28" customHeight="1" x14ac:dyDescent="0.35">
      <c r="A84" s="15" t="s">
        <v>178</v>
      </c>
      <c r="B84" s="16">
        <v>2026</v>
      </c>
      <c r="C84" s="36">
        <v>1307843</v>
      </c>
      <c r="D84" s="18" t="s">
        <v>188</v>
      </c>
      <c r="E84" s="42" t="s">
        <v>88</v>
      </c>
      <c r="F84" s="19" t="s">
        <v>56</v>
      </c>
      <c r="G84" s="20">
        <v>1</v>
      </c>
      <c r="H84" s="16">
        <v>2</v>
      </c>
      <c r="I84" s="16">
        <v>122.5</v>
      </c>
      <c r="J84" s="21">
        <f t="shared" si="2"/>
        <v>245</v>
      </c>
    </row>
    <row r="85" spans="1:10" ht="28" customHeight="1" x14ac:dyDescent="0.35">
      <c r="A85" s="15" t="s">
        <v>178</v>
      </c>
      <c r="B85" s="16">
        <v>2026</v>
      </c>
      <c r="C85" s="36">
        <v>1307833</v>
      </c>
      <c r="D85" s="18" t="s">
        <v>189</v>
      </c>
      <c r="E85" s="42" t="s">
        <v>191</v>
      </c>
      <c r="F85" s="19" t="s">
        <v>56</v>
      </c>
      <c r="G85" s="20">
        <v>1</v>
      </c>
      <c r="H85" s="16">
        <v>5</v>
      </c>
      <c r="I85" s="16">
        <v>122.5</v>
      </c>
      <c r="J85" s="21">
        <f t="shared" si="2"/>
        <v>612.5</v>
      </c>
    </row>
    <row r="86" spans="1:10" ht="28" customHeight="1" x14ac:dyDescent="0.35">
      <c r="A86" s="15" t="s">
        <v>178</v>
      </c>
      <c r="B86" s="16">
        <v>2026</v>
      </c>
      <c r="C86" s="36">
        <v>1307838</v>
      </c>
      <c r="D86" s="18" t="s">
        <v>79</v>
      </c>
      <c r="E86" s="42" t="s">
        <v>53</v>
      </c>
      <c r="F86" s="19" t="s">
        <v>53</v>
      </c>
      <c r="G86" s="20">
        <v>1</v>
      </c>
      <c r="H86" s="16">
        <v>5</v>
      </c>
      <c r="I86" s="16">
        <v>126</v>
      </c>
      <c r="J86" s="21">
        <f t="shared" si="2"/>
        <v>630</v>
      </c>
    </row>
    <row r="87" spans="1:10" ht="28" customHeight="1" x14ac:dyDescent="0.35">
      <c r="A87" s="43" t="s">
        <v>60</v>
      </c>
      <c r="B87" s="44">
        <v>2026</v>
      </c>
      <c r="C87" s="45">
        <v>1307913</v>
      </c>
      <c r="D87" s="46" t="s">
        <v>63</v>
      </c>
      <c r="E87" s="46" t="s">
        <v>82</v>
      </c>
      <c r="F87" s="47" t="s">
        <v>58</v>
      </c>
      <c r="G87" s="48">
        <v>1</v>
      </c>
      <c r="H87" s="44">
        <v>1</v>
      </c>
      <c r="I87" s="44">
        <v>127</v>
      </c>
      <c r="J87" s="49">
        <f t="shared" ref="J87:J112" si="3">H87*I87</f>
        <v>127</v>
      </c>
    </row>
    <row r="88" spans="1:10" ht="28" customHeight="1" x14ac:dyDescent="0.35">
      <c r="A88" s="43" t="s">
        <v>60</v>
      </c>
      <c r="B88" s="44">
        <v>2026</v>
      </c>
      <c r="C88" s="45">
        <v>1307923</v>
      </c>
      <c r="D88" s="46" t="s">
        <v>64</v>
      </c>
      <c r="E88" s="46" t="s">
        <v>83</v>
      </c>
      <c r="F88" s="47" t="s">
        <v>58</v>
      </c>
      <c r="G88" s="48">
        <v>1</v>
      </c>
      <c r="H88" s="44">
        <v>1</v>
      </c>
      <c r="I88" s="44">
        <v>127</v>
      </c>
      <c r="J88" s="49">
        <f t="shared" si="3"/>
        <v>127</v>
      </c>
    </row>
    <row r="89" spans="1:10" ht="32.5" customHeight="1" x14ac:dyDescent="0.35">
      <c r="A89" s="43" t="s">
        <v>60</v>
      </c>
      <c r="B89" s="44">
        <v>2026</v>
      </c>
      <c r="C89" s="45" t="s">
        <v>61</v>
      </c>
      <c r="D89" s="46" t="s">
        <v>65</v>
      </c>
      <c r="E89" s="46" t="s">
        <v>84</v>
      </c>
      <c r="F89" s="47" t="s">
        <v>58</v>
      </c>
      <c r="G89" s="48">
        <v>1</v>
      </c>
      <c r="H89" s="44">
        <v>4</v>
      </c>
      <c r="I89" s="44">
        <v>127</v>
      </c>
      <c r="J89" s="49">
        <f t="shared" si="3"/>
        <v>508</v>
      </c>
    </row>
    <row r="90" spans="1:10" ht="28" customHeight="1" x14ac:dyDescent="0.35">
      <c r="A90" s="43" t="s">
        <v>60</v>
      </c>
      <c r="B90" s="44">
        <v>2026</v>
      </c>
      <c r="C90" s="45">
        <v>1307861</v>
      </c>
      <c r="D90" s="46" t="s">
        <v>66</v>
      </c>
      <c r="E90" s="46" t="s">
        <v>85</v>
      </c>
      <c r="F90" s="47" t="s">
        <v>58</v>
      </c>
      <c r="G90" s="48">
        <v>1</v>
      </c>
      <c r="H90" s="44">
        <v>1</v>
      </c>
      <c r="I90" s="44">
        <v>127</v>
      </c>
      <c r="J90" s="49">
        <f t="shared" si="3"/>
        <v>127</v>
      </c>
    </row>
    <row r="91" spans="1:10" ht="28" customHeight="1" x14ac:dyDescent="0.35">
      <c r="A91" s="43" t="s">
        <v>60</v>
      </c>
      <c r="B91" s="44">
        <v>2026</v>
      </c>
      <c r="C91" s="45">
        <v>1307774</v>
      </c>
      <c r="D91" s="46" t="s">
        <v>67</v>
      </c>
      <c r="E91" s="46" t="s">
        <v>83</v>
      </c>
      <c r="F91" s="47" t="s">
        <v>58</v>
      </c>
      <c r="G91" s="48">
        <v>1</v>
      </c>
      <c r="H91" s="44">
        <v>1</v>
      </c>
      <c r="I91" s="44">
        <v>127</v>
      </c>
      <c r="J91" s="49">
        <f t="shared" si="3"/>
        <v>127</v>
      </c>
    </row>
    <row r="92" spans="1:10" ht="28" customHeight="1" x14ac:dyDescent="0.35">
      <c r="A92" s="43" t="s">
        <v>60</v>
      </c>
      <c r="B92" s="44">
        <v>2026</v>
      </c>
      <c r="C92" s="45">
        <v>1307888</v>
      </c>
      <c r="D92" s="46" t="s">
        <v>68</v>
      </c>
      <c r="E92" s="46" t="s">
        <v>86</v>
      </c>
      <c r="F92" s="47" t="s">
        <v>58</v>
      </c>
      <c r="G92" s="48">
        <v>1</v>
      </c>
      <c r="H92" s="44">
        <v>1</v>
      </c>
      <c r="I92" s="44">
        <v>127</v>
      </c>
      <c r="J92" s="49">
        <f t="shared" si="3"/>
        <v>127</v>
      </c>
    </row>
    <row r="93" spans="1:10" ht="28" customHeight="1" x14ac:dyDescent="0.35">
      <c r="A93" s="43" t="s">
        <v>60</v>
      </c>
      <c r="B93" s="44">
        <v>2026</v>
      </c>
      <c r="C93" s="45">
        <v>1307833</v>
      </c>
      <c r="D93" s="46" t="s">
        <v>69</v>
      </c>
      <c r="E93" s="46" t="s">
        <v>87</v>
      </c>
      <c r="F93" s="47" t="s">
        <v>56</v>
      </c>
      <c r="G93" s="48">
        <v>1</v>
      </c>
      <c r="H93" s="44">
        <v>8</v>
      </c>
      <c r="I93" s="44">
        <v>122.5</v>
      </c>
      <c r="J93" s="49">
        <f t="shared" si="3"/>
        <v>980</v>
      </c>
    </row>
    <row r="94" spans="1:10" ht="28" customHeight="1" x14ac:dyDescent="0.35">
      <c r="A94" s="43" t="s">
        <v>60</v>
      </c>
      <c r="B94" s="44">
        <v>2026</v>
      </c>
      <c r="C94" s="45">
        <v>1307944</v>
      </c>
      <c r="D94" s="46" t="s">
        <v>80</v>
      </c>
      <c r="E94" s="46" t="s">
        <v>88</v>
      </c>
      <c r="F94" s="47" t="s">
        <v>56</v>
      </c>
      <c r="G94" s="48">
        <v>1</v>
      </c>
      <c r="H94" s="44">
        <v>2</v>
      </c>
      <c r="I94" s="44">
        <v>122.5</v>
      </c>
      <c r="J94" s="49">
        <f t="shared" si="3"/>
        <v>245</v>
      </c>
    </row>
    <row r="95" spans="1:10" ht="28" customHeight="1" x14ac:dyDescent="0.35">
      <c r="A95" s="43" t="s">
        <v>60</v>
      </c>
      <c r="B95" s="44">
        <v>2026</v>
      </c>
      <c r="C95" s="45">
        <v>1307945</v>
      </c>
      <c r="D95" s="46" t="s">
        <v>80</v>
      </c>
      <c r="E95" s="46" t="s">
        <v>89</v>
      </c>
      <c r="F95" s="47" t="s">
        <v>56</v>
      </c>
      <c r="G95" s="48">
        <v>1</v>
      </c>
      <c r="H95" s="44">
        <v>1</v>
      </c>
      <c r="I95" s="44">
        <v>122.5</v>
      </c>
      <c r="J95" s="49">
        <f t="shared" si="3"/>
        <v>122.5</v>
      </c>
    </row>
    <row r="96" spans="1:10" ht="28" customHeight="1" x14ac:dyDescent="0.35">
      <c r="A96" s="43" t="s">
        <v>60</v>
      </c>
      <c r="B96" s="44">
        <v>2026</v>
      </c>
      <c r="C96" s="45">
        <v>1307978</v>
      </c>
      <c r="D96" s="46" t="s">
        <v>80</v>
      </c>
      <c r="E96" s="46" t="s">
        <v>88</v>
      </c>
      <c r="F96" s="47" t="s">
        <v>56</v>
      </c>
      <c r="G96" s="48">
        <v>1</v>
      </c>
      <c r="H96" s="44">
        <v>2</v>
      </c>
      <c r="I96" s="44">
        <v>122.5</v>
      </c>
      <c r="J96" s="49">
        <f t="shared" si="3"/>
        <v>245</v>
      </c>
    </row>
    <row r="97" spans="1:10" ht="28" customHeight="1" x14ac:dyDescent="0.35">
      <c r="A97" s="43" t="s">
        <v>60</v>
      </c>
      <c r="B97" s="44">
        <v>2026</v>
      </c>
      <c r="C97" s="45">
        <v>1307979</v>
      </c>
      <c r="D97" s="46" t="s">
        <v>80</v>
      </c>
      <c r="E97" s="46" t="s">
        <v>89</v>
      </c>
      <c r="F97" s="47" t="s">
        <v>56</v>
      </c>
      <c r="G97" s="48">
        <v>1</v>
      </c>
      <c r="H97" s="44">
        <v>1</v>
      </c>
      <c r="I97" s="44">
        <v>122.5</v>
      </c>
      <c r="J97" s="49">
        <f t="shared" si="3"/>
        <v>122.5</v>
      </c>
    </row>
    <row r="98" spans="1:10" ht="28" customHeight="1" x14ac:dyDescent="0.35">
      <c r="A98" s="43" t="s">
        <v>60</v>
      </c>
      <c r="B98" s="44">
        <v>2026</v>
      </c>
      <c r="C98" s="45">
        <v>1307972</v>
      </c>
      <c r="D98" s="46" t="s">
        <v>70</v>
      </c>
      <c r="E98" s="46" t="s">
        <v>50</v>
      </c>
      <c r="F98" s="47" t="s">
        <v>55</v>
      </c>
      <c r="G98" s="48">
        <v>1</v>
      </c>
      <c r="H98" s="44">
        <v>1</v>
      </c>
      <c r="I98" s="44">
        <v>122.5</v>
      </c>
      <c r="J98" s="49">
        <f t="shared" si="3"/>
        <v>122.5</v>
      </c>
    </row>
    <row r="99" spans="1:10" ht="28" customHeight="1" x14ac:dyDescent="0.35">
      <c r="A99" s="43" t="s">
        <v>60</v>
      </c>
      <c r="B99" s="44">
        <v>2026</v>
      </c>
      <c r="C99" s="45">
        <v>1307988</v>
      </c>
      <c r="D99" s="46" t="s">
        <v>41</v>
      </c>
      <c r="E99" s="46" t="s">
        <v>50</v>
      </c>
      <c r="F99" s="47" t="s">
        <v>55</v>
      </c>
      <c r="G99" s="48">
        <v>1</v>
      </c>
      <c r="H99" s="44">
        <v>15</v>
      </c>
      <c r="I99" s="44">
        <v>122.5</v>
      </c>
      <c r="J99" s="49">
        <f t="shared" si="3"/>
        <v>1837.5</v>
      </c>
    </row>
    <row r="100" spans="1:10" ht="28" customHeight="1" x14ac:dyDescent="0.35">
      <c r="A100" s="43" t="s">
        <v>60</v>
      </c>
      <c r="B100" s="44">
        <v>2026</v>
      </c>
      <c r="C100" s="45" t="s">
        <v>62</v>
      </c>
      <c r="D100" s="46" t="s">
        <v>71</v>
      </c>
      <c r="E100" s="46" t="s">
        <v>48</v>
      </c>
      <c r="F100" s="47" t="s">
        <v>54</v>
      </c>
      <c r="G100" s="48">
        <v>1</v>
      </c>
      <c r="H100" s="44">
        <v>2</v>
      </c>
      <c r="I100" s="44">
        <v>112</v>
      </c>
      <c r="J100" s="49">
        <f t="shared" si="3"/>
        <v>224</v>
      </c>
    </row>
    <row r="101" spans="1:10" ht="28" customHeight="1" x14ac:dyDescent="0.35">
      <c r="A101" s="43" t="s">
        <v>60</v>
      </c>
      <c r="B101" s="44">
        <v>2026</v>
      </c>
      <c r="C101" s="45">
        <v>1307915</v>
      </c>
      <c r="D101" s="46" t="s">
        <v>72</v>
      </c>
      <c r="E101" s="46" t="s">
        <v>48</v>
      </c>
      <c r="F101" s="47" t="s">
        <v>54</v>
      </c>
      <c r="G101" s="48">
        <v>1</v>
      </c>
      <c r="H101" s="44">
        <v>1</v>
      </c>
      <c r="I101" s="44">
        <v>112</v>
      </c>
      <c r="J101" s="49">
        <f t="shared" si="3"/>
        <v>112</v>
      </c>
    </row>
    <row r="102" spans="1:10" ht="28" customHeight="1" x14ac:dyDescent="0.35">
      <c r="A102" s="43" t="s">
        <v>60</v>
      </c>
      <c r="B102" s="44">
        <v>2026</v>
      </c>
      <c r="C102" s="45">
        <v>1307926</v>
      </c>
      <c r="D102" s="46" t="s">
        <v>73</v>
      </c>
      <c r="E102" s="46" t="s">
        <v>48</v>
      </c>
      <c r="F102" s="47" t="s">
        <v>54</v>
      </c>
      <c r="G102" s="48">
        <v>1</v>
      </c>
      <c r="H102" s="44">
        <v>1</v>
      </c>
      <c r="I102" s="44">
        <v>112</v>
      </c>
      <c r="J102" s="49">
        <f t="shared" si="3"/>
        <v>112</v>
      </c>
    </row>
    <row r="103" spans="1:10" ht="28" customHeight="1" x14ac:dyDescent="0.35">
      <c r="A103" s="43" t="s">
        <v>60</v>
      </c>
      <c r="B103" s="44">
        <v>2026</v>
      </c>
      <c r="C103" s="45">
        <v>1307927</v>
      </c>
      <c r="D103" s="46" t="s">
        <v>74</v>
      </c>
      <c r="E103" s="46" t="s">
        <v>48</v>
      </c>
      <c r="F103" s="47" t="s">
        <v>54</v>
      </c>
      <c r="G103" s="48">
        <v>1</v>
      </c>
      <c r="H103" s="44">
        <v>2</v>
      </c>
      <c r="I103" s="44">
        <v>112</v>
      </c>
      <c r="J103" s="49">
        <f t="shared" si="3"/>
        <v>224</v>
      </c>
    </row>
    <row r="104" spans="1:10" ht="28" customHeight="1" x14ac:dyDescent="0.35">
      <c r="A104" s="43" t="s">
        <v>60</v>
      </c>
      <c r="B104" s="44">
        <v>2026</v>
      </c>
      <c r="C104" s="45">
        <v>1307958</v>
      </c>
      <c r="D104" s="46" t="s">
        <v>81</v>
      </c>
      <c r="E104" s="46" t="s">
        <v>48</v>
      </c>
      <c r="F104" s="47" t="s">
        <v>54</v>
      </c>
      <c r="G104" s="48">
        <v>1</v>
      </c>
      <c r="H104" s="44">
        <v>1</v>
      </c>
      <c r="I104" s="44">
        <v>112</v>
      </c>
      <c r="J104" s="49">
        <f t="shared" si="3"/>
        <v>112</v>
      </c>
    </row>
    <row r="105" spans="1:10" ht="28" customHeight="1" x14ac:dyDescent="0.35">
      <c r="A105" s="43" t="s">
        <v>60</v>
      </c>
      <c r="B105" s="44">
        <v>2026</v>
      </c>
      <c r="C105" s="45">
        <v>1307960</v>
      </c>
      <c r="D105" s="46" t="s">
        <v>75</v>
      </c>
      <c r="E105" s="46" t="s">
        <v>47</v>
      </c>
      <c r="F105" s="47" t="s">
        <v>54</v>
      </c>
      <c r="G105" s="48">
        <v>1</v>
      </c>
      <c r="H105" s="44">
        <v>1</v>
      </c>
      <c r="I105" s="44">
        <v>112</v>
      </c>
      <c r="J105" s="49">
        <f t="shared" si="3"/>
        <v>112</v>
      </c>
    </row>
    <row r="106" spans="1:10" ht="28" customHeight="1" x14ac:dyDescent="0.35">
      <c r="A106" s="43" t="s">
        <v>60</v>
      </c>
      <c r="B106" s="44">
        <v>2026</v>
      </c>
      <c r="C106" s="45">
        <v>1307914</v>
      </c>
      <c r="D106" s="46" t="s">
        <v>76</v>
      </c>
      <c r="E106" s="46" t="s">
        <v>90</v>
      </c>
      <c r="F106" s="47" t="s">
        <v>57</v>
      </c>
      <c r="G106" s="48">
        <v>1</v>
      </c>
      <c r="H106" s="44">
        <v>1</v>
      </c>
      <c r="I106" s="44">
        <v>145</v>
      </c>
      <c r="J106" s="49">
        <f t="shared" si="3"/>
        <v>145</v>
      </c>
    </row>
    <row r="107" spans="1:10" ht="28" customHeight="1" x14ac:dyDescent="0.35">
      <c r="A107" s="43" t="s">
        <v>60</v>
      </c>
      <c r="B107" s="44">
        <v>2026</v>
      </c>
      <c r="C107" s="45">
        <v>1307975</v>
      </c>
      <c r="D107" s="46" t="s">
        <v>77</v>
      </c>
      <c r="E107" s="46" t="s">
        <v>51</v>
      </c>
      <c r="F107" s="47" t="s">
        <v>57</v>
      </c>
      <c r="G107" s="48">
        <v>1</v>
      </c>
      <c r="H107" s="44">
        <v>1</v>
      </c>
      <c r="I107" s="44">
        <v>145</v>
      </c>
      <c r="J107" s="49">
        <f t="shared" si="3"/>
        <v>145</v>
      </c>
    </row>
    <row r="108" spans="1:10" ht="28" customHeight="1" x14ac:dyDescent="0.35">
      <c r="A108" s="43" t="s">
        <v>60</v>
      </c>
      <c r="B108" s="44">
        <v>2026</v>
      </c>
      <c r="C108" s="45">
        <v>1307949</v>
      </c>
      <c r="D108" s="46" t="s">
        <v>78</v>
      </c>
      <c r="E108" s="46" t="s">
        <v>51</v>
      </c>
      <c r="F108" s="47" t="s">
        <v>57</v>
      </c>
      <c r="G108" s="48">
        <v>1</v>
      </c>
      <c r="H108" s="44">
        <v>1</v>
      </c>
      <c r="I108" s="44">
        <v>145</v>
      </c>
      <c r="J108" s="49">
        <f t="shared" si="3"/>
        <v>145</v>
      </c>
    </row>
    <row r="109" spans="1:10" ht="28" customHeight="1" x14ac:dyDescent="0.35">
      <c r="A109" s="43" t="s">
        <v>60</v>
      </c>
      <c r="B109" s="44">
        <v>2026</v>
      </c>
      <c r="C109" s="45">
        <v>1307837</v>
      </c>
      <c r="D109" s="46" t="s">
        <v>79</v>
      </c>
      <c r="E109" s="46" t="s">
        <v>91</v>
      </c>
      <c r="F109" s="47" t="s">
        <v>113</v>
      </c>
      <c r="G109" s="48">
        <v>1</v>
      </c>
      <c r="H109" s="44">
        <v>2</v>
      </c>
      <c r="I109" s="44">
        <v>165</v>
      </c>
      <c r="J109" s="49">
        <f t="shared" si="3"/>
        <v>330</v>
      </c>
    </row>
    <row r="110" spans="1:10" ht="28" customHeight="1" x14ac:dyDescent="0.35">
      <c r="A110" s="43" t="s">
        <v>60</v>
      </c>
      <c r="B110" s="44">
        <v>2026</v>
      </c>
      <c r="C110" s="45">
        <v>1307838</v>
      </c>
      <c r="D110" s="46" t="s">
        <v>79</v>
      </c>
      <c r="E110" s="46" t="s">
        <v>53</v>
      </c>
      <c r="F110" s="47" t="s">
        <v>53</v>
      </c>
      <c r="G110" s="48">
        <v>1</v>
      </c>
      <c r="H110" s="44">
        <v>11</v>
      </c>
      <c r="I110" s="44">
        <v>126</v>
      </c>
      <c r="J110" s="49">
        <f t="shared" si="3"/>
        <v>1386</v>
      </c>
    </row>
    <row r="111" spans="1:10" ht="28" customHeight="1" x14ac:dyDescent="0.35">
      <c r="A111" s="43" t="s">
        <v>60</v>
      </c>
      <c r="B111" s="44">
        <v>2026</v>
      </c>
      <c r="C111" s="45">
        <v>1307839</v>
      </c>
      <c r="D111" s="46" t="s">
        <v>79</v>
      </c>
      <c r="E111" s="46" t="s">
        <v>92</v>
      </c>
      <c r="F111" s="47" t="s">
        <v>92</v>
      </c>
      <c r="G111" s="48">
        <v>1</v>
      </c>
      <c r="H111" s="44">
        <v>2</v>
      </c>
      <c r="I111" s="44">
        <v>142</v>
      </c>
      <c r="J111" s="49">
        <f t="shared" si="3"/>
        <v>284</v>
      </c>
    </row>
    <row r="112" spans="1:10" ht="28" customHeight="1" x14ac:dyDescent="0.35">
      <c r="A112" s="43" t="s">
        <v>60</v>
      </c>
      <c r="B112" s="44">
        <v>2026</v>
      </c>
      <c r="C112" s="45">
        <v>1307840</v>
      </c>
      <c r="D112" s="46" t="s">
        <v>79</v>
      </c>
      <c r="E112" s="46" t="s">
        <v>93</v>
      </c>
      <c r="F112" s="47" t="s">
        <v>93</v>
      </c>
      <c r="G112" s="48">
        <v>1</v>
      </c>
      <c r="H112" s="44">
        <v>1</v>
      </c>
      <c r="I112" s="44">
        <v>263.5</v>
      </c>
      <c r="J112" s="49">
        <f t="shared" si="3"/>
        <v>263.5</v>
      </c>
    </row>
    <row r="113" spans="1:10" ht="28" customHeight="1" x14ac:dyDescent="0.35">
      <c r="A113" s="15" t="s">
        <v>21</v>
      </c>
      <c r="B113" s="16">
        <v>2026</v>
      </c>
      <c r="C113" s="17">
        <v>1308009</v>
      </c>
      <c r="D113" s="18" t="s">
        <v>34</v>
      </c>
      <c r="E113" s="18" t="s">
        <v>46</v>
      </c>
      <c r="F113" s="19" t="s">
        <v>54</v>
      </c>
      <c r="G113" s="20">
        <v>1</v>
      </c>
      <c r="H113" s="16">
        <v>1</v>
      </c>
      <c r="I113" s="16">
        <v>112</v>
      </c>
      <c r="J113" s="21">
        <f>H113*I113</f>
        <v>112</v>
      </c>
    </row>
    <row r="114" spans="1:10" ht="28" customHeight="1" x14ac:dyDescent="0.35">
      <c r="A114" s="29" t="s">
        <v>21</v>
      </c>
      <c r="B114" s="30">
        <v>2026</v>
      </c>
      <c r="C114" s="31">
        <v>1307949</v>
      </c>
      <c r="D114" s="32" t="s">
        <v>35</v>
      </c>
      <c r="E114" s="32" t="s">
        <v>47</v>
      </c>
      <c r="F114" s="33" t="s">
        <v>54</v>
      </c>
      <c r="G114" s="34">
        <v>1</v>
      </c>
      <c r="H114" s="30">
        <v>1</v>
      </c>
      <c r="I114" s="30">
        <v>112</v>
      </c>
      <c r="J114" s="35">
        <f t="shared" ref="J114:J129" si="4">H114*I114</f>
        <v>112</v>
      </c>
    </row>
    <row r="115" spans="1:10" ht="28" customHeight="1" x14ac:dyDescent="0.35">
      <c r="A115" s="15" t="s">
        <v>21</v>
      </c>
      <c r="B115" s="16">
        <v>2026</v>
      </c>
      <c r="C115" s="17">
        <v>1307931</v>
      </c>
      <c r="D115" s="18" t="s">
        <v>36</v>
      </c>
      <c r="E115" s="18" t="s">
        <v>48</v>
      </c>
      <c r="F115" s="19" t="s">
        <v>54</v>
      </c>
      <c r="G115" s="20">
        <v>1</v>
      </c>
      <c r="H115" s="16">
        <v>13</v>
      </c>
      <c r="I115" s="16">
        <v>112</v>
      </c>
      <c r="J115" s="21">
        <f t="shared" si="4"/>
        <v>1456</v>
      </c>
    </row>
    <row r="116" spans="1:10" ht="28" customHeight="1" x14ac:dyDescent="0.35">
      <c r="A116" s="29" t="s">
        <v>21</v>
      </c>
      <c r="B116" s="30">
        <v>2026</v>
      </c>
      <c r="C116" s="31">
        <v>1307931</v>
      </c>
      <c r="D116" s="32" t="s">
        <v>36</v>
      </c>
      <c r="E116" s="32" t="s">
        <v>48</v>
      </c>
      <c r="F116" s="33" t="s">
        <v>54</v>
      </c>
      <c r="G116" s="34">
        <v>1</v>
      </c>
      <c r="H116" s="30">
        <v>4</v>
      </c>
      <c r="I116" s="30">
        <v>112</v>
      </c>
      <c r="J116" s="35">
        <f t="shared" si="4"/>
        <v>448</v>
      </c>
    </row>
    <row r="117" spans="1:10" ht="28" customHeight="1" x14ac:dyDescent="0.35">
      <c r="A117" s="15" t="s">
        <v>21</v>
      </c>
      <c r="B117" s="16">
        <v>2026</v>
      </c>
      <c r="C117" s="17">
        <v>1307931</v>
      </c>
      <c r="D117" s="18" t="s">
        <v>36</v>
      </c>
      <c r="E117" s="18" t="s">
        <v>48</v>
      </c>
      <c r="F117" s="19" t="s">
        <v>54</v>
      </c>
      <c r="G117" s="20">
        <v>1</v>
      </c>
      <c r="H117" s="16">
        <v>5</v>
      </c>
      <c r="I117" s="16">
        <v>112</v>
      </c>
      <c r="J117" s="21">
        <f t="shared" si="4"/>
        <v>560</v>
      </c>
    </row>
    <row r="118" spans="1:10" ht="28" customHeight="1" x14ac:dyDescent="0.35">
      <c r="A118" s="29" t="s">
        <v>21</v>
      </c>
      <c r="B118" s="30">
        <v>2026</v>
      </c>
      <c r="C118" s="31">
        <v>1307931</v>
      </c>
      <c r="D118" s="32" t="s">
        <v>36</v>
      </c>
      <c r="E118" s="32" t="s">
        <v>48</v>
      </c>
      <c r="F118" s="33" t="s">
        <v>54</v>
      </c>
      <c r="G118" s="34">
        <v>1</v>
      </c>
      <c r="H118" s="30">
        <v>3</v>
      </c>
      <c r="I118" s="30">
        <v>112</v>
      </c>
      <c r="J118" s="35">
        <f t="shared" si="4"/>
        <v>336</v>
      </c>
    </row>
    <row r="119" spans="1:10" ht="28" customHeight="1" x14ac:dyDescent="0.35">
      <c r="A119" s="15" t="s">
        <v>21</v>
      </c>
      <c r="B119" s="16">
        <v>2026</v>
      </c>
      <c r="C119" s="17" t="s">
        <v>31</v>
      </c>
      <c r="D119" s="18" t="s">
        <v>37</v>
      </c>
      <c r="E119" s="18" t="s">
        <v>47</v>
      </c>
      <c r="F119" s="19" t="s">
        <v>54</v>
      </c>
      <c r="G119" s="20">
        <v>1</v>
      </c>
      <c r="H119" s="16">
        <v>3</v>
      </c>
      <c r="I119" s="16">
        <v>112</v>
      </c>
      <c r="J119" s="21">
        <f t="shared" si="4"/>
        <v>336</v>
      </c>
    </row>
    <row r="120" spans="1:10" ht="28" customHeight="1" x14ac:dyDescent="0.35">
      <c r="A120" s="29" t="s">
        <v>21</v>
      </c>
      <c r="B120" s="30">
        <v>2026</v>
      </c>
      <c r="C120" s="31">
        <v>1308034</v>
      </c>
      <c r="D120" s="32" t="s">
        <v>38</v>
      </c>
      <c r="E120" s="32" t="s">
        <v>49</v>
      </c>
      <c r="F120" s="33" t="s">
        <v>54</v>
      </c>
      <c r="G120" s="34">
        <v>1</v>
      </c>
      <c r="H120" s="30">
        <v>1</v>
      </c>
      <c r="I120" s="30">
        <v>112</v>
      </c>
      <c r="J120" s="35">
        <f t="shared" si="4"/>
        <v>112</v>
      </c>
    </row>
    <row r="121" spans="1:10" ht="28" customHeight="1" x14ac:dyDescent="0.35">
      <c r="A121" s="15" t="s">
        <v>21</v>
      </c>
      <c r="B121" s="16">
        <v>2026</v>
      </c>
      <c r="C121" s="17" t="s">
        <v>32</v>
      </c>
      <c r="D121" s="18" t="s">
        <v>39</v>
      </c>
      <c r="E121" s="18" t="s">
        <v>49</v>
      </c>
      <c r="F121" s="19" t="s">
        <v>54</v>
      </c>
      <c r="G121" s="20">
        <v>1</v>
      </c>
      <c r="H121" s="16">
        <v>2</v>
      </c>
      <c r="I121" s="16">
        <v>112</v>
      </c>
      <c r="J121" s="21">
        <f t="shared" si="4"/>
        <v>224</v>
      </c>
    </row>
    <row r="122" spans="1:10" ht="28" customHeight="1" x14ac:dyDescent="0.35">
      <c r="A122" s="29" t="s">
        <v>21</v>
      </c>
      <c r="B122" s="30">
        <v>2026</v>
      </c>
      <c r="C122" s="31" t="s">
        <v>33</v>
      </c>
      <c r="D122" s="32" t="s">
        <v>40</v>
      </c>
      <c r="E122" s="32" t="s">
        <v>49</v>
      </c>
      <c r="F122" s="33" t="s">
        <v>54</v>
      </c>
      <c r="G122" s="34">
        <v>1</v>
      </c>
      <c r="H122" s="30">
        <v>2</v>
      </c>
      <c r="I122" s="30">
        <v>112</v>
      </c>
      <c r="J122" s="35">
        <f t="shared" si="4"/>
        <v>224</v>
      </c>
    </row>
    <row r="123" spans="1:10" ht="28" customHeight="1" x14ac:dyDescent="0.35">
      <c r="A123" s="15" t="s">
        <v>21</v>
      </c>
      <c r="B123" s="16">
        <v>2026</v>
      </c>
      <c r="C123" s="17">
        <v>1307987</v>
      </c>
      <c r="D123" s="18" t="s">
        <v>41</v>
      </c>
      <c r="E123" s="18" t="s">
        <v>50</v>
      </c>
      <c r="F123" s="19" t="s">
        <v>55</v>
      </c>
      <c r="G123" s="20">
        <v>1</v>
      </c>
      <c r="H123" s="16">
        <v>8</v>
      </c>
      <c r="I123" s="16">
        <v>122.5</v>
      </c>
      <c r="J123" s="21">
        <f t="shared" si="4"/>
        <v>980</v>
      </c>
    </row>
    <row r="124" spans="1:10" ht="28" customHeight="1" x14ac:dyDescent="0.35">
      <c r="A124" s="29" t="s">
        <v>21</v>
      </c>
      <c r="B124" s="30">
        <v>2026</v>
      </c>
      <c r="C124" s="31">
        <v>1307989</v>
      </c>
      <c r="D124" s="32" t="s">
        <v>41</v>
      </c>
      <c r="E124" s="32" t="s">
        <v>50</v>
      </c>
      <c r="F124" s="33" t="s">
        <v>56</v>
      </c>
      <c r="G124" s="34">
        <v>1</v>
      </c>
      <c r="H124" s="30">
        <v>16</v>
      </c>
      <c r="I124" s="30">
        <v>122.5</v>
      </c>
      <c r="J124" s="35">
        <f t="shared" si="4"/>
        <v>1960</v>
      </c>
    </row>
    <row r="125" spans="1:10" ht="28" customHeight="1" x14ac:dyDescent="0.35">
      <c r="A125" s="15" t="s">
        <v>21</v>
      </c>
      <c r="B125" s="16">
        <v>2026</v>
      </c>
      <c r="C125" s="17">
        <v>1307984</v>
      </c>
      <c r="D125" s="18" t="s">
        <v>41</v>
      </c>
      <c r="E125" s="18" t="s">
        <v>50</v>
      </c>
      <c r="F125" s="19" t="s">
        <v>56</v>
      </c>
      <c r="G125" s="20">
        <v>1</v>
      </c>
      <c r="H125" s="16">
        <v>10</v>
      </c>
      <c r="I125" s="16">
        <v>122.5</v>
      </c>
      <c r="J125" s="21">
        <f t="shared" si="4"/>
        <v>1225</v>
      </c>
    </row>
    <row r="126" spans="1:10" ht="28" customHeight="1" x14ac:dyDescent="0.35">
      <c r="A126" s="29" t="s">
        <v>21</v>
      </c>
      <c r="B126" s="30">
        <v>2026</v>
      </c>
      <c r="C126" s="31">
        <v>1308017</v>
      </c>
      <c r="D126" s="32" t="s">
        <v>42</v>
      </c>
      <c r="E126" s="32" t="s">
        <v>51</v>
      </c>
      <c r="F126" s="33" t="s">
        <v>57</v>
      </c>
      <c r="G126" s="34">
        <v>1</v>
      </c>
      <c r="H126" s="30">
        <v>2</v>
      </c>
      <c r="I126" s="30">
        <v>145</v>
      </c>
      <c r="J126" s="35">
        <f t="shared" si="4"/>
        <v>290</v>
      </c>
    </row>
    <row r="127" spans="1:10" ht="28" customHeight="1" x14ac:dyDescent="0.35">
      <c r="A127" s="15" t="s">
        <v>21</v>
      </c>
      <c r="B127" s="16">
        <v>2026</v>
      </c>
      <c r="C127" s="17">
        <v>1308018</v>
      </c>
      <c r="D127" s="18" t="s">
        <v>43</v>
      </c>
      <c r="E127" s="18" t="s">
        <v>51</v>
      </c>
      <c r="F127" s="19" t="s">
        <v>57</v>
      </c>
      <c r="G127" s="20">
        <v>1</v>
      </c>
      <c r="H127" s="16">
        <v>1</v>
      </c>
      <c r="I127" s="16">
        <v>145</v>
      </c>
      <c r="J127" s="21">
        <f t="shared" si="4"/>
        <v>145</v>
      </c>
    </row>
    <row r="128" spans="1:10" ht="28" customHeight="1" x14ac:dyDescent="0.35">
      <c r="A128" s="29" t="s">
        <v>21</v>
      </c>
      <c r="B128" s="30">
        <v>2026</v>
      </c>
      <c r="C128" s="31">
        <v>1308028</v>
      </c>
      <c r="D128" s="32" t="s">
        <v>44</v>
      </c>
      <c r="E128" s="32" t="s">
        <v>52</v>
      </c>
      <c r="F128" s="33" t="s">
        <v>58</v>
      </c>
      <c r="G128" s="34">
        <v>1</v>
      </c>
      <c r="H128" s="30">
        <v>3</v>
      </c>
      <c r="I128" s="30">
        <v>127</v>
      </c>
      <c r="J128" s="35">
        <f t="shared" si="4"/>
        <v>381</v>
      </c>
    </row>
    <row r="129" spans="1:10" ht="28" customHeight="1" x14ac:dyDescent="0.35">
      <c r="A129" s="22" t="s">
        <v>21</v>
      </c>
      <c r="B129" s="23">
        <v>2026</v>
      </c>
      <c r="C129" s="24">
        <v>1307932</v>
      </c>
      <c r="D129" s="25" t="s">
        <v>45</v>
      </c>
      <c r="E129" s="25" t="s">
        <v>53</v>
      </c>
      <c r="F129" s="26" t="s">
        <v>53</v>
      </c>
      <c r="G129" s="27">
        <v>1</v>
      </c>
      <c r="H129" s="23">
        <v>25</v>
      </c>
      <c r="I129" s="23">
        <v>126</v>
      </c>
      <c r="J129" s="28">
        <f t="shared" si="4"/>
        <v>3150</v>
      </c>
    </row>
  </sheetData>
  <mergeCells count="1">
    <mergeCell ref="A1:J1"/>
  </mergeCells>
  <phoneticPr fontId="5" type="noConversion"/>
  <dataValidations count="1">
    <dataValidation type="list" allowBlank="1" showInputMessage="1" showErrorMessage="1" sqref="F87 F8 F3:F6 F47 F42:F45 F73" xr:uid="{7EA5E26C-5662-4BDD-85C5-11E2D607A90A}">
      <formula1>#REF!</formula1>
    </dataValidation>
  </dataValidations>
  <pageMargins left="0.7" right="0.7" top="0.75" bottom="0.75" header="0.3" footer="0.3"/>
  <ignoredErrors>
    <ignoredError sqref="F87 F3:F6 E8:F8 F42:F52 F73" listDataValidatio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29FA-28C0-4071-8CFC-868ADA62C054}">
  <dimension ref="A1:I24"/>
  <sheetViews>
    <sheetView topLeftCell="C1" zoomScaleNormal="100" workbookViewId="0">
      <selection activeCell="O8" sqref="O8"/>
    </sheetView>
  </sheetViews>
  <sheetFormatPr defaultRowHeight="14.5" x14ac:dyDescent="0.35"/>
  <cols>
    <col min="1" max="2" width="20.6328125" customWidth="1"/>
    <col min="3" max="3" width="42.08984375" customWidth="1"/>
    <col min="4" max="4" width="32.90625" customWidth="1"/>
    <col min="5" max="5" width="20.6328125" customWidth="1"/>
    <col min="6" max="6" width="21.7265625" customWidth="1"/>
    <col min="7" max="8" width="20.6328125" customWidth="1"/>
    <col min="9" max="9" width="22.81640625" customWidth="1"/>
  </cols>
  <sheetData>
    <row r="1" spans="1:9" ht="60" customHeight="1" x14ac:dyDescent="0.35">
      <c r="A1" s="118" t="s">
        <v>192</v>
      </c>
      <c r="B1" s="119"/>
      <c r="C1" s="119"/>
      <c r="D1" s="119"/>
      <c r="E1" s="119"/>
      <c r="F1" s="119"/>
      <c r="G1" s="119"/>
      <c r="H1" s="119"/>
      <c r="I1" s="120"/>
    </row>
    <row r="2" spans="1:9" ht="35" customHeight="1" x14ac:dyDescent="0.35">
      <c r="A2" s="71" t="s">
        <v>1</v>
      </c>
      <c r="B2" s="71" t="s">
        <v>22</v>
      </c>
      <c r="C2" s="71" t="s">
        <v>24</v>
      </c>
      <c r="D2" s="71" t="s">
        <v>26</v>
      </c>
      <c r="E2" s="71" t="s">
        <v>196</v>
      </c>
      <c r="F2" s="71" t="s">
        <v>27</v>
      </c>
      <c r="G2" s="71" t="s">
        <v>28</v>
      </c>
      <c r="H2" s="72" t="s">
        <v>29</v>
      </c>
      <c r="I2" s="71" t="s">
        <v>30</v>
      </c>
    </row>
    <row r="3" spans="1:9" ht="35" customHeight="1" x14ac:dyDescent="0.35">
      <c r="A3" s="73" t="s">
        <v>94</v>
      </c>
      <c r="B3" s="73">
        <v>2026</v>
      </c>
      <c r="C3" s="74" t="s">
        <v>193</v>
      </c>
      <c r="D3" s="75" t="s">
        <v>58</v>
      </c>
      <c r="E3" s="75" t="s">
        <v>194</v>
      </c>
      <c r="F3" s="76">
        <v>1</v>
      </c>
      <c r="G3" s="73">
        <v>1</v>
      </c>
      <c r="H3" s="73">
        <v>47</v>
      </c>
      <c r="I3" s="73">
        <f t="shared" ref="I3:I17" si="0">G3*H3</f>
        <v>47</v>
      </c>
    </row>
    <row r="4" spans="1:9" ht="35" customHeight="1" x14ac:dyDescent="0.35">
      <c r="A4" s="73" t="s">
        <v>94</v>
      </c>
      <c r="B4" s="73">
        <v>2026</v>
      </c>
      <c r="C4" s="74" t="s">
        <v>102</v>
      </c>
      <c r="D4" s="74" t="s">
        <v>209</v>
      </c>
      <c r="E4" s="75" t="s">
        <v>195</v>
      </c>
      <c r="F4" s="76">
        <v>1</v>
      </c>
      <c r="G4" s="73">
        <v>2</v>
      </c>
      <c r="H4" s="73">
        <v>38.5</v>
      </c>
      <c r="I4" s="73">
        <f t="shared" si="0"/>
        <v>77</v>
      </c>
    </row>
    <row r="5" spans="1:9" ht="35" customHeight="1" x14ac:dyDescent="0.35">
      <c r="A5" s="73" t="s">
        <v>94</v>
      </c>
      <c r="B5" s="73">
        <v>2026</v>
      </c>
      <c r="C5" s="74" t="s">
        <v>102</v>
      </c>
      <c r="D5" s="74" t="s">
        <v>209</v>
      </c>
      <c r="E5" s="75" t="s">
        <v>195</v>
      </c>
      <c r="F5" s="76">
        <v>1</v>
      </c>
      <c r="G5" s="73">
        <v>2</v>
      </c>
      <c r="H5" s="73">
        <v>38.5</v>
      </c>
      <c r="I5" s="73">
        <f t="shared" si="0"/>
        <v>77</v>
      </c>
    </row>
    <row r="6" spans="1:9" ht="35" customHeight="1" x14ac:dyDescent="0.35">
      <c r="A6" s="73" t="s">
        <v>115</v>
      </c>
      <c r="B6" s="73">
        <v>2026</v>
      </c>
      <c r="C6" s="74" t="s">
        <v>197</v>
      </c>
      <c r="D6" s="74" t="s">
        <v>201</v>
      </c>
      <c r="E6" s="75" t="s">
        <v>195</v>
      </c>
      <c r="F6" s="76">
        <v>1</v>
      </c>
      <c r="G6" s="73">
        <v>2</v>
      </c>
      <c r="H6" s="73">
        <v>26</v>
      </c>
      <c r="I6" s="73">
        <f t="shared" si="0"/>
        <v>52</v>
      </c>
    </row>
    <row r="7" spans="1:9" ht="35" customHeight="1" x14ac:dyDescent="0.35">
      <c r="A7" s="73" t="s">
        <v>115</v>
      </c>
      <c r="B7" s="73">
        <v>2026</v>
      </c>
      <c r="C7" s="74" t="s">
        <v>198</v>
      </c>
      <c r="D7" s="74" t="s">
        <v>202</v>
      </c>
      <c r="E7" s="75" t="s">
        <v>195</v>
      </c>
      <c r="F7" s="76">
        <v>1</v>
      </c>
      <c r="G7" s="73">
        <v>11</v>
      </c>
      <c r="H7" s="73">
        <v>40.5</v>
      </c>
      <c r="I7" s="73">
        <f t="shared" si="0"/>
        <v>445.5</v>
      </c>
    </row>
    <row r="8" spans="1:9" ht="35" customHeight="1" x14ac:dyDescent="0.35">
      <c r="A8" s="73" t="s">
        <v>115</v>
      </c>
      <c r="B8" s="73">
        <v>2026</v>
      </c>
      <c r="C8" s="74" t="s">
        <v>199</v>
      </c>
      <c r="D8" s="74" t="s">
        <v>202</v>
      </c>
      <c r="E8" s="75" t="s">
        <v>195</v>
      </c>
      <c r="F8" s="76">
        <v>1</v>
      </c>
      <c r="G8" s="73">
        <v>15</v>
      </c>
      <c r="H8" s="73">
        <v>40.5</v>
      </c>
      <c r="I8" s="73">
        <f t="shared" si="0"/>
        <v>607.5</v>
      </c>
    </row>
    <row r="9" spans="1:9" ht="35" customHeight="1" x14ac:dyDescent="0.35">
      <c r="A9" s="73" t="s">
        <v>115</v>
      </c>
      <c r="B9" s="73">
        <v>2026</v>
      </c>
      <c r="C9" s="74" t="s">
        <v>200</v>
      </c>
      <c r="D9" s="74" t="s">
        <v>201</v>
      </c>
      <c r="E9" s="75" t="s">
        <v>195</v>
      </c>
      <c r="F9" s="76">
        <v>1</v>
      </c>
      <c r="G9" s="73">
        <v>8</v>
      </c>
      <c r="H9" s="73">
        <v>26</v>
      </c>
      <c r="I9" s="73">
        <f t="shared" si="0"/>
        <v>208</v>
      </c>
    </row>
    <row r="10" spans="1:9" ht="35" customHeight="1" x14ac:dyDescent="0.35">
      <c r="A10" s="73" t="s">
        <v>148</v>
      </c>
      <c r="B10" s="73">
        <v>2026</v>
      </c>
      <c r="C10" s="74" t="s">
        <v>203</v>
      </c>
      <c r="D10" s="74" t="s">
        <v>205</v>
      </c>
      <c r="E10" s="75" t="s">
        <v>195</v>
      </c>
      <c r="F10" s="76">
        <v>1</v>
      </c>
      <c r="G10" s="73">
        <v>6</v>
      </c>
      <c r="H10" s="73">
        <v>26</v>
      </c>
      <c r="I10" s="73">
        <f t="shared" si="0"/>
        <v>156</v>
      </c>
    </row>
    <row r="11" spans="1:9" ht="35" customHeight="1" x14ac:dyDescent="0.35">
      <c r="A11" s="73" t="s">
        <v>148</v>
      </c>
      <c r="B11" s="73">
        <v>2026</v>
      </c>
      <c r="C11" s="74" t="s">
        <v>198</v>
      </c>
      <c r="D11" s="74" t="s">
        <v>202</v>
      </c>
      <c r="E11" s="75" t="s">
        <v>195</v>
      </c>
      <c r="F11" s="76">
        <v>1</v>
      </c>
      <c r="G11" s="73">
        <v>22</v>
      </c>
      <c r="H11" s="73">
        <v>40.5</v>
      </c>
      <c r="I11" s="73">
        <f t="shared" si="0"/>
        <v>891</v>
      </c>
    </row>
    <row r="12" spans="1:9" ht="35" customHeight="1" x14ac:dyDescent="0.35">
      <c r="A12" s="73" t="s">
        <v>148</v>
      </c>
      <c r="B12" s="73">
        <v>2026</v>
      </c>
      <c r="C12" s="74" t="s">
        <v>204</v>
      </c>
      <c r="D12" s="74" t="s">
        <v>206</v>
      </c>
      <c r="E12" s="75" t="s">
        <v>195</v>
      </c>
      <c r="F12" s="76">
        <v>1</v>
      </c>
      <c r="G12" s="73">
        <v>1</v>
      </c>
      <c r="H12" s="73">
        <v>26</v>
      </c>
      <c r="I12" s="73">
        <f t="shared" si="0"/>
        <v>26</v>
      </c>
    </row>
    <row r="13" spans="1:9" ht="35" customHeight="1" x14ac:dyDescent="0.35">
      <c r="A13" s="73" t="s">
        <v>151</v>
      </c>
      <c r="B13" s="73">
        <v>2026</v>
      </c>
      <c r="C13" s="74" t="s">
        <v>207</v>
      </c>
      <c r="D13" s="74" t="s">
        <v>205</v>
      </c>
      <c r="E13" s="75" t="s">
        <v>195</v>
      </c>
      <c r="F13" s="76">
        <v>1</v>
      </c>
      <c r="G13" s="73">
        <v>2</v>
      </c>
      <c r="H13" s="73">
        <v>26</v>
      </c>
      <c r="I13" s="73">
        <f t="shared" si="0"/>
        <v>52</v>
      </c>
    </row>
    <row r="14" spans="1:9" ht="35" customHeight="1" x14ac:dyDescent="0.35">
      <c r="A14" s="73" t="s">
        <v>151</v>
      </c>
      <c r="B14" s="73">
        <v>2026</v>
      </c>
      <c r="C14" s="74" t="s">
        <v>198</v>
      </c>
      <c r="D14" s="74" t="s">
        <v>202</v>
      </c>
      <c r="E14" s="75" t="s">
        <v>195</v>
      </c>
      <c r="F14" s="76">
        <v>1</v>
      </c>
      <c r="G14" s="73">
        <v>5</v>
      </c>
      <c r="H14" s="73">
        <v>40.5</v>
      </c>
      <c r="I14" s="73">
        <f t="shared" si="0"/>
        <v>202.5</v>
      </c>
    </row>
    <row r="15" spans="1:9" ht="35" customHeight="1" x14ac:dyDescent="0.35">
      <c r="A15" s="73" t="s">
        <v>151</v>
      </c>
      <c r="B15" s="73">
        <v>2026</v>
      </c>
      <c r="C15" s="74" t="s">
        <v>208</v>
      </c>
      <c r="D15" s="74" t="s">
        <v>206</v>
      </c>
      <c r="E15" s="75" t="s">
        <v>195</v>
      </c>
      <c r="F15" s="76">
        <v>1</v>
      </c>
      <c r="G15" s="73">
        <v>5</v>
      </c>
      <c r="H15" s="73">
        <v>47</v>
      </c>
      <c r="I15" s="73">
        <f t="shared" si="0"/>
        <v>235</v>
      </c>
    </row>
    <row r="16" spans="1:9" ht="35" customHeight="1" x14ac:dyDescent="0.35">
      <c r="A16" s="73" t="s">
        <v>178</v>
      </c>
      <c r="B16" s="73">
        <v>2026</v>
      </c>
      <c r="C16" s="74" t="s">
        <v>210</v>
      </c>
      <c r="D16" s="74" t="s">
        <v>209</v>
      </c>
      <c r="E16" s="75" t="s">
        <v>195</v>
      </c>
      <c r="F16" s="76">
        <v>1</v>
      </c>
      <c r="G16" s="73">
        <v>5</v>
      </c>
      <c r="H16" s="73">
        <v>38.5</v>
      </c>
      <c r="I16" s="73">
        <f t="shared" si="0"/>
        <v>192.5</v>
      </c>
    </row>
    <row r="17" spans="1:9" ht="35" customHeight="1" x14ac:dyDescent="0.35">
      <c r="A17" s="73" t="s">
        <v>21</v>
      </c>
      <c r="B17" s="73">
        <v>2026</v>
      </c>
      <c r="C17" s="77" t="s">
        <v>41</v>
      </c>
      <c r="D17" s="74" t="s">
        <v>211</v>
      </c>
      <c r="E17" s="75" t="s">
        <v>195</v>
      </c>
      <c r="F17" s="76">
        <v>1</v>
      </c>
      <c r="G17" s="73">
        <v>10</v>
      </c>
      <c r="H17" s="73">
        <v>38.5</v>
      </c>
      <c r="I17" s="73">
        <f t="shared" si="0"/>
        <v>385</v>
      </c>
    </row>
    <row r="18" spans="1:9" ht="35" customHeight="1" x14ac:dyDescent="0.35"/>
    <row r="19" spans="1:9" ht="35" customHeight="1" x14ac:dyDescent="0.35"/>
    <row r="20" spans="1:9" ht="35" customHeight="1" x14ac:dyDescent="0.35"/>
    <row r="21" spans="1:9" ht="35" customHeight="1" x14ac:dyDescent="0.35"/>
    <row r="22" spans="1:9" ht="35" customHeight="1" x14ac:dyDescent="0.35"/>
    <row r="23" spans="1:9" ht="35" customHeight="1" x14ac:dyDescent="0.35"/>
    <row r="24" spans="1:9" ht="35" customHeight="1" x14ac:dyDescent="0.35"/>
  </sheetData>
  <mergeCells count="1">
    <mergeCell ref="A1:I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68D9-D432-4658-A751-5A9B0C44844F}">
  <dimension ref="A1:F9"/>
  <sheetViews>
    <sheetView topLeftCell="B1" workbookViewId="0">
      <selection activeCell="C7" sqref="C7"/>
    </sheetView>
  </sheetViews>
  <sheetFormatPr defaultRowHeight="14.5" x14ac:dyDescent="0.35"/>
  <cols>
    <col min="1" max="6" width="28.6328125" customWidth="1"/>
  </cols>
  <sheetData>
    <row r="1" spans="1:6" ht="54" customHeight="1" x14ac:dyDescent="0.35">
      <c r="A1" s="121" t="s">
        <v>223</v>
      </c>
      <c r="B1" s="121"/>
      <c r="C1" s="121"/>
      <c r="D1" s="121"/>
      <c r="E1" s="121"/>
      <c r="F1" s="121"/>
    </row>
    <row r="2" spans="1:6" ht="41" customHeight="1" x14ac:dyDescent="0.35">
      <c r="A2" s="78" t="s">
        <v>1</v>
      </c>
      <c r="B2" s="79" t="s">
        <v>22</v>
      </c>
      <c r="C2" s="79" t="s">
        <v>219</v>
      </c>
      <c r="D2" s="79" t="s">
        <v>220</v>
      </c>
      <c r="E2" s="79" t="s">
        <v>221</v>
      </c>
      <c r="F2" s="80" t="s">
        <v>222</v>
      </c>
    </row>
    <row r="3" spans="1:6" ht="28" customHeight="1" x14ac:dyDescent="0.35">
      <c r="A3" s="89" t="s">
        <v>94</v>
      </c>
      <c r="B3" s="87">
        <v>2026</v>
      </c>
      <c r="C3" s="88">
        <f ca="1">SUMIFS('Monthly Data'!$Q:$Q,'Monthly Data'!$A:$A,A3,'Monthly Data'!$B:$B,B3)</f>
        <v>9479.48</v>
      </c>
      <c r="D3" s="87">
        <f>SUMIFS('Monthly Production'!$J:$J,'Monthly Production'!$A:$A,A3,'Monthly Production'!$B:$B,B3)+SUMIFS('Reworking Data'!$I:$I,'Reworking Data'!$A:$A,A3,'Reworking Data'!$B:$B,B3)</f>
        <v>5019</v>
      </c>
      <c r="E3" s="87">
        <f ca="1">C3-D3</f>
        <v>4460.4799999999996</v>
      </c>
      <c r="F3" s="90">
        <f ca="1">IFERROR(D3/C3,0)</f>
        <v>0.52945942182482586</v>
      </c>
    </row>
    <row r="4" spans="1:6" ht="28" customHeight="1" x14ac:dyDescent="0.35">
      <c r="A4" s="89" t="s">
        <v>115</v>
      </c>
      <c r="B4" s="87">
        <v>2026</v>
      </c>
      <c r="C4" s="88">
        <f ca="1">SUMIFS('Monthly Data'!$Q:$Q,'Monthly Data'!$A:$A,A4,'Monthly Data'!$B:$B,B4)</f>
        <v>9450.56</v>
      </c>
      <c r="D4" s="87">
        <f>SUMIFS('Monthly Production'!$J:$J,'Monthly Production'!$A:$A,A4,'Monthly Production'!$B:$B,B4)+SUMIFS('Reworking Data'!$I:$I,'Reworking Data'!$A:$A,A4,'Reworking Data'!$B:$B,B4)</f>
        <v>9250.5</v>
      </c>
      <c r="E4" s="87">
        <f t="shared" ref="E4:E9" ca="1" si="0">C4-D4</f>
        <v>200.05999999999949</v>
      </c>
      <c r="F4" s="90">
        <f t="shared" ref="F4:F9" ca="1" si="1">IFERROR(D4/C4,0)</f>
        <v>0.97883088409575736</v>
      </c>
    </row>
    <row r="5" spans="1:6" ht="28" customHeight="1" x14ac:dyDescent="0.35">
      <c r="A5" s="89" t="s">
        <v>148</v>
      </c>
      <c r="B5" s="87">
        <v>2026</v>
      </c>
      <c r="C5" s="88">
        <f ca="1">SUMIFS('Monthly Data'!$Q:$Q,'Monthly Data'!$A:$A,A5,'Monthly Data'!$B:$B,B5)</f>
        <v>7668.08</v>
      </c>
      <c r="D5" s="87">
        <f>SUMIFS('Monthly Production'!$J:$J,'Monthly Production'!$A:$A,A5,'Monthly Production'!$B:$B,B5)+SUMIFS('Reworking Data'!$I:$I,'Reworking Data'!$A:$A,A5,'Reworking Data'!$B:$B,B5)</f>
        <v>5444.5</v>
      </c>
      <c r="E5" s="87">
        <f t="shared" ca="1" si="0"/>
        <v>2223.58</v>
      </c>
      <c r="F5" s="90">
        <f t="shared" ca="1" si="1"/>
        <v>0.71002128303304091</v>
      </c>
    </row>
    <row r="6" spans="1:6" ht="28" customHeight="1" x14ac:dyDescent="0.35">
      <c r="A6" s="89" t="s">
        <v>151</v>
      </c>
      <c r="B6" s="87">
        <v>2026</v>
      </c>
      <c r="C6" s="88">
        <f ca="1">SUMIFS('Monthly Data'!$Q:$Q,'Monthly Data'!$A:$A,A6,'Monthly Data'!$B:$B,B6)</f>
        <v>8684.9599999999991</v>
      </c>
      <c r="D6" s="87">
        <f>SUMIFS('Monthly Production'!$J:$J,'Monthly Production'!$A:$A,A6,'Monthly Production'!$B:$B,B6)+SUMIFS('Reworking Data'!$I:$I,'Reworking Data'!$A:$A,A6,'Reworking Data'!$B:$B,B6)</f>
        <v>6576</v>
      </c>
      <c r="E6" s="87">
        <f t="shared" ca="1" si="0"/>
        <v>2108.9599999999991</v>
      </c>
      <c r="F6" s="90">
        <f t="shared" ca="1" si="1"/>
        <v>0.75717101748309734</v>
      </c>
    </row>
    <row r="7" spans="1:6" ht="28" customHeight="1" x14ac:dyDescent="0.35">
      <c r="A7" s="89" t="s">
        <v>178</v>
      </c>
      <c r="B7" s="87">
        <v>2026</v>
      </c>
      <c r="C7" s="88">
        <f ca="1">SUMIFS('Monthly Data'!$Q:$Q,'Monthly Data'!$A:$A,A7,'Monthly Data'!$B:$B,B7)</f>
        <v>6996.16</v>
      </c>
      <c r="D7" s="87">
        <f>SUMIFS('Monthly Production'!$J:$J,'Monthly Production'!$A:$A,A7,'Monthly Production'!$B:$B,B7)+SUMIFS('Reworking Data'!$I:$I,'Reworking Data'!$A:$A,A7,'Reworking Data'!$B:$B,B7)</f>
        <v>5317.5</v>
      </c>
      <c r="E7" s="87">
        <f t="shared" ca="1" si="0"/>
        <v>1678.6599999999999</v>
      </c>
      <c r="F7" s="90">
        <f t="shared" ca="1" si="1"/>
        <v>0.76005980423546637</v>
      </c>
    </row>
    <row r="8" spans="1:6" ht="28" customHeight="1" x14ac:dyDescent="0.35">
      <c r="A8" s="89" t="s">
        <v>60</v>
      </c>
      <c r="B8" s="87">
        <v>2026</v>
      </c>
      <c r="C8" s="88">
        <f ca="1">SUMIFS('Monthly Data'!$Q:$Q,'Monthly Data'!$A:$A,A8,'Monthly Data'!$B:$B,B8)</f>
        <v>8632.119999999999</v>
      </c>
      <c r="D8" s="87">
        <f>SUMIFS('Monthly Production'!$J:$J,'Monthly Production'!$A:$A,A8,'Monthly Production'!$B:$B,B8)+SUMIFS('Reworking Data'!$I:$I,'Reworking Data'!$A:$A,A8,'Reworking Data'!$B:$B,B8)</f>
        <v>8412.5</v>
      </c>
      <c r="E8" s="87">
        <f t="shared" ca="1" si="0"/>
        <v>219.61999999999898</v>
      </c>
      <c r="F8" s="90">
        <f t="shared" ca="1" si="1"/>
        <v>0.9745578143028597</v>
      </c>
    </row>
    <row r="9" spans="1:6" ht="28" customHeight="1" x14ac:dyDescent="0.35">
      <c r="A9" s="91" t="s">
        <v>21</v>
      </c>
      <c r="B9" s="92">
        <v>2026</v>
      </c>
      <c r="C9" s="93">
        <f ca="1">SUMIFS('Monthly Data'!$Q:$Q,'Monthly Data'!$A:$A,A9,'Monthly Data'!$B:$B,B9)</f>
        <v>12750.4</v>
      </c>
      <c r="D9" s="92">
        <f>SUMIFS('Monthly Production'!$J:$J,'Monthly Production'!$A:$A,A9,'Monthly Production'!$B:$B,B9)+SUMIFS('Reworking Data'!$I:$I,'Reworking Data'!$A:$A,A9,'Reworking Data'!$B:$B,B9)</f>
        <v>12436</v>
      </c>
      <c r="E9" s="92">
        <f t="shared" ca="1" si="0"/>
        <v>314.39999999999964</v>
      </c>
      <c r="F9" s="94">
        <f t="shared" ca="1" si="1"/>
        <v>0.97534195005646884</v>
      </c>
    </row>
  </sheetData>
  <mergeCells count="1">
    <mergeCell ref="A1:F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Dashboard</vt:lpstr>
      <vt:lpstr>Master Data</vt:lpstr>
      <vt:lpstr>Monthly Data</vt:lpstr>
      <vt:lpstr>Monthly Production</vt:lpstr>
      <vt:lpstr>Reworking Data</vt:lpstr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haseeb shahid</dc:creator>
  <cp:lastModifiedBy>muhammad haseeb shahid</cp:lastModifiedBy>
  <dcterms:created xsi:type="dcterms:W3CDTF">2026-08-17T16:48:51Z</dcterms:created>
  <dcterms:modified xsi:type="dcterms:W3CDTF">2026-09-05T20:39:06Z</dcterms:modified>
</cp:coreProperties>
</file>